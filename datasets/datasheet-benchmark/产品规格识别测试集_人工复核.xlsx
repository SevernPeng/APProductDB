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AEF4CB46-BC18-4958-9B39-F515760B717E}" xr6:coauthVersionLast="47" xr6:coauthVersionMax="47" xr10:uidLastSave="{00000000-0000-0000-0000-000000000000}"/>
  <bookViews>
    <workbookView xWindow="-110" yWindow="-110" windowWidth="25820" windowHeight="15500" activeTab="4" xr2:uid="{00000000-000D-0000-FFFF-FFFF00000000}"/>
  </bookViews>
  <sheets>
    <sheet name="使用说明" sheetId="1" r:id="rId1"/>
    <sheet name="评测汇总" sheetId="2" r:id="rId2"/>
    <sheet name="采样计划" sheetId="3" r:id="rId3"/>
    <sheet name="案例清单" sheetId="4" r:id="rId4"/>
    <sheet name="标准答案" sheetId="5" r:id="rId5"/>
    <sheet name="型号评测" sheetId="6" r:id="rId6"/>
    <sheet name="规格评测" sheetId="7" r:id="rId7"/>
    <sheet name="运行记录" sheetId="8" r:id="rId8"/>
    <sheet name="字段字典" sheetId="9" r:id="rId9"/>
    <sheet name="枚举选项"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5" i="8" l="1"/>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M105" i="7"/>
  <c r="F105" i="7"/>
  <c r="E105" i="7"/>
  <c r="D105" i="7"/>
  <c r="M104" i="7"/>
  <c r="F104" i="7"/>
  <c r="E104" i="7"/>
  <c r="D104" i="7"/>
  <c r="M103" i="7"/>
  <c r="F103" i="7"/>
  <c r="E103" i="7"/>
  <c r="D103" i="7"/>
  <c r="M102" i="7"/>
  <c r="F102" i="7"/>
  <c r="E102" i="7"/>
  <c r="D102" i="7"/>
  <c r="M101" i="7"/>
  <c r="F101" i="7"/>
  <c r="E101" i="7"/>
  <c r="D101" i="7"/>
  <c r="M100" i="7"/>
  <c r="F100" i="7"/>
  <c r="E100" i="7"/>
  <c r="D100" i="7"/>
  <c r="M99" i="7"/>
  <c r="F99" i="7"/>
  <c r="E99" i="7"/>
  <c r="D99" i="7"/>
  <c r="M98" i="7"/>
  <c r="F98" i="7"/>
  <c r="E98" i="7"/>
  <c r="D98" i="7"/>
  <c r="M97" i="7"/>
  <c r="F97" i="7"/>
  <c r="E97" i="7"/>
  <c r="D97" i="7"/>
  <c r="M96" i="7"/>
  <c r="F96" i="7"/>
  <c r="E96" i="7"/>
  <c r="D96" i="7"/>
  <c r="M95" i="7"/>
  <c r="F95" i="7"/>
  <c r="E95" i="7"/>
  <c r="D95" i="7"/>
  <c r="M94" i="7"/>
  <c r="F94" i="7"/>
  <c r="E94" i="7"/>
  <c r="D94" i="7"/>
  <c r="M93" i="7"/>
  <c r="F93" i="7"/>
  <c r="E93" i="7"/>
  <c r="D93" i="7"/>
  <c r="M92" i="7"/>
  <c r="F92" i="7"/>
  <c r="E92" i="7"/>
  <c r="D92" i="7"/>
  <c r="M91" i="7"/>
  <c r="F91" i="7"/>
  <c r="E91" i="7"/>
  <c r="D91" i="7"/>
  <c r="M90" i="7"/>
  <c r="F90" i="7"/>
  <c r="E90" i="7"/>
  <c r="D90" i="7"/>
  <c r="M89" i="7"/>
  <c r="F89" i="7"/>
  <c r="E89" i="7"/>
  <c r="D89" i="7"/>
  <c r="M88" i="7"/>
  <c r="F88" i="7"/>
  <c r="E88" i="7"/>
  <c r="D88" i="7"/>
  <c r="M87" i="7"/>
  <c r="F87" i="7"/>
  <c r="E87" i="7"/>
  <c r="D87" i="7"/>
  <c r="M86" i="7"/>
  <c r="F86" i="7"/>
  <c r="E86" i="7"/>
  <c r="D86" i="7"/>
  <c r="M85" i="7"/>
  <c r="F85" i="7"/>
  <c r="E85" i="7"/>
  <c r="D85" i="7"/>
  <c r="M84" i="7"/>
  <c r="F84" i="7"/>
  <c r="E84" i="7"/>
  <c r="D84" i="7"/>
  <c r="M83" i="7"/>
  <c r="F83" i="7"/>
  <c r="E83" i="7"/>
  <c r="D83" i="7"/>
  <c r="M82" i="7"/>
  <c r="F82" i="7"/>
  <c r="E82" i="7"/>
  <c r="D82" i="7"/>
  <c r="M81" i="7"/>
  <c r="F81" i="7"/>
  <c r="E81" i="7"/>
  <c r="D81" i="7"/>
  <c r="M80" i="7"/>
  <c r="F80" i="7"/>
  <c r="E80" i="7"/>
  <c r="D80" i="7"/>
  <c r="M79" i="7"/>
  <c r="F79" i="7"/>
  <c r="E79" i="7"/>
  <c r="D79" i="7"/>
  <c r="M78" i="7"/>
  <c r="F78" i="7"/>
  <c r="E78" i="7"/>
  <c r="D78" i="7"/>
  <c r="M77" i="7"/>
  <c r="F77" i="7"/>
  <c r="E77" i="7"/>
  <c r="D77" i="7"/>
  <c r="M76" i="7"/>
  <c r="F76" i="7"/>
  <c r="E76" i="7"/>
  <c r="D76" i="7"/>
  <c r="M75" i="7"/>
  <c r="F75" i="7"/>
  <c r="E75" i="7"/>
  <c r="D75" i="7"/>
  <c r="M74" i="7"/>
  <c r="F74" i="7"/>
  <c r="E74" i="7"/>
  <c r="D74" i="7"/>
  <c r="M73" i="7"/>
  <c r="F73" i="7"/>
  <c r="E73" i="7"/>
  <c r="D73" i="7"/>
  <c r="M72" i="7"/>
  <c r="F72" i="7"/>
  <c r="E72" i="7"/>
  <c r="D72" i="7"/>
  <c r="M71" i="7"/>
  <c r="F71" i="7"/>
  <c r="E71" i="7"/>
  <c r="D71" i="7"/>
  <c r="M70" i="7"/>
  <c r="F70" i="7"/>
  <c r="E70" i="7"/>
  <c r="D70" i="7"/>
  <c r="M69" i="7"/>
  <c r="F69" i="7"/>
  <c r="E69" i="7"/>
  <c r="D69" i="7"/>
  <c r="M68" i="7"/>
  <c r="F68" i="7"/>
  <c r="E68" i="7"/>
  <c r="D68" i="7"/>
  <c r="M67" i="7"/>
  <c r="F67" i="7"/>
  <c r="E67" i="7"/>
  <c r="D67" i="7"/>
  <c r="M66" i="7"/>
  <c r="F66" i="7"/>
  <c r="E66" i="7"/>
  <c r="D66" i="7"/>
  <c r="M65" i="7"/>
  <c r="F65" i="7"/>
  <c r="E65" i="7"/>
  <c r="D65" i="7"/>
  <c r="M64" i="7"/>
  <c r="F64" i="7"/>
  <c r="E64" i="7"/>
  <c r="D64" i="7"/>
  <c r="M63" i="7"/>
  <c r="F63" i="7"/>
  <c r="E63" i="7"/>
  <c r="D63" i="7"/>
  <c r="M62" i="7"/>
  <c r="F62" i="7"/>
  <c r="E62" i="7"/>
  <c r="D62" i="7"/>
  <c r="M61" i="7"/>
  <c r="F61" i="7"/>
  <c r="E61" i="7"/>
  <c r="D61" i="7"/>
  <c r="M60" i="7"/>
  <c r="F60" i="7"/>
  <c r="E60" i="7"/>
  <c r="D60" i="7"/>
  <c r="M59" i="7"/>
  <c r="F59" i="7"/>
  <c r="E59" i="7"/>
  <c r="D59" i="7"/>
  <c r="M58" i="7"/>
  <c r="F58" i="7"/>
  <c r="E58" i="7"/>
  <c r="D58" i="7"/>
  <c r="M57" i="7"/>
  <c r="F57" i="7"/>
  <c r="E57" i="7"/>
  <c r="D57" i="7"/>
  <c r="M56" i="7"/>
  <c r="F56" i="7"/>
  <c r="E56" i="7"/>
  <c r="D56" i="7"/>
  <c r="M55" i="7"/>
  <c r="F55" i="7"/>
  <c r="E55" i="7"/>
  <c r="D55" i="7"/>
  <c r="M54" i="7"/>
  <c r="F54" i="7"/>
  <c r="E54" i="7"/>
  <c r="D54" i="7"/>
  <c r="M53" i="7"/>
  <c r="F53" i="7"/>
  <c r="E53" i="7"/>
  <c r="D53" i="7"/>
  <c r="M52" i="7"/>
  <c r="F52" i="7"/>
  <c r="E52" i="7"/>
  <c r="D52" i="7"/>
  <c r="M51" i="7"/>
  <c r="F51" i="7"/>
  <c r="E51" i="7"/>
  <c r="D51" i="7"/>
  <c r="M50" i="7"/>
  <c r="F50" i="7"/>
  <c r="E50" i="7"/>
  <c r="D50" i="7"/>
  <c r="M49" i="7"/>
  <c r="F49" i="7"/>
  <c r="E49" i="7"/>
  <c r="D49" i="7"/>
  <c r="M48" i="7"/>
  <c r="F48" i="7"/>
  <c r="E48" i="7"/>
  <c r="D48" i="7"/>
  <c r="M47" i="7"/>
  <c r="F47" i="7"/>
  <c r="E47" i="7"/>
  <c r="D47" i="7"/>
  <c r="M46" i="7"/>
  <c r="F46" i="7"/>
  <c r="E46" i="7"/>
  <c r="D46" i="7"/>
  <c r="M45" i="7"/>
  <c r="F45" i="7"/>
  <c r="E45" i="7"/>
  <c r="D45" i="7"/>
  <c r="M44" i="7"/>
  <c r="F44" i="7"/>
  <c r="E44" i="7"/>
  <c r="D44" i="7"/>
  <c r="M43" i="7"/>
  <c r="F43" i="7"/>
  <c r="E43" i="7"/>
  <c r="D43" i="7"/>
  <c r="M42" i="7"/>
  <c r="F42" i="7"/>
  <c r="E42" i="7"/>
  <c r="D42" i="7"/>
  <c r="M41" i="7"/>
  <c r="F41" i="7"/>
  <c r="E41" i="7"/>
  <c r="D41" i="7"/>
  <c r="M40" i="7"/>
  <c r="F40" i="7"/>
  <c r="E40" i="7"/>
  <c r="D40" i="7"/>
  <c r="M39" i="7"/>
  <c r="F39" i="7"/>
  <c r="E39" i="7"/>
  <c r="D39" i="7"/>
  <c r="M38" i="7"/>
  <c r="F38" i="7"/>
  <c r="E38" i="7"/>
  <c r="D38" i="7"/>
  <c r="M37" i="7"/>
  <c r="F37" i="7"/>
  <c r="E37" i="7"/>
  <c r="D37" i="7"/>
  <c r="M36" i="7"/>
  <c r="F36" i="7"/>
  <c r="E36" i="7"/>
  <c r="D36" i="7"/>
  <c r="M35" i="7"/>
  <c r="F35" i="7"/>
  <c r="E35" i="7"/>
  <c r="D35" i="7"/>
  <c r="M34" i="7"/>
  <c r="F34" i="7"/>
  <c r="E34" i="7"/>
  <c r="D34" i="7"/>
  <c r="M33" i="7"/>
  <c r="F33" i="7"/>
  <c r="E33" i="7"/>
  <c r="D33" i="7"/>
  <c r="M32" i="7"/>
  <c r="F32" i="7"/>
  <c r="E32" i="7"/>
  <c r="D32" i="7"/>
  <c r="M31" i="7"/>
  <c r="F31" i="7"/>
  <c r="E31" i="7"/>
  <c r="D31" i="7"/>
  <c r="M30" i="7"/>
  <c r="F30" i="7"/>
  <c r="E30" i="7"/>
  <c r="D30" i="7"/>
  <c r="M29" i="7"/>
  <c r="F29" i="7"/>
  <c r="E29" i="7"/>
  <c r="D29" i="7"/>
  <c r="M28" i="7"/>
  <c r="F28" i="7"/>
  <c r="E28" i="7"/>
  <c r="D28" i="7"/>
  <c r="M27" i="7"/>
  <c r="F27" i="7"/>
  <c r="E27" i="7"/>
  <c r="D27" i="7"/>
  <c r="M26" i="7"/>
  <c r="F26" i="7"/>
  <c r="E26" i="7"/>
  <c r="D26" i="7"/>
  <c r="M25" i="7"/>
  <c r="F25" i="7"/>
  <c r="E25" i="7"/>
  <c r="D25" i="7"/>
  <c r="M24" i="7"/>
  <c r="F24" i="7"/>
  <c r="E24" i="7"/>
  <c r="D24" i="7"/>
  <c r="M23" i="7"/>
  <c r="F23" i="7"/>
  <c r="E23" i="7"/>
  <c r="D23" i="7"/>
  <c r="M22" i="7"/>
  <c r="F22" i="7"/>
  <c r="E22" i="7"/>
  <c r="D22" i="7"/>
  <c r="M21" i="7"/>
  <c r="F21" i="7"/>
  <c r="E21" i="7"/>
  <c r="D21" i="7"/>
  <c r="M20" i="7"/>
  <c r="F20" i="7"/>
  <c r="E20" i="7"/>
  <c r="D20" i="7"/>
  <c r="M19" i="7"/>
  <c r="F19" i="7"/>
  <c r="E19" i="7"/>
  <c r="D19" i="7"/>
  <c r="M18" i="7"/>
  <c r="F18" i="7"/>
  <c r="E18" i="7"/>
  <c r="D18" i="7"/>
  <c r="M17" i="7"/>
  <c r="F17" i="7"/>
  <c r="E17" i="7"/>
  <c r="D17" i="7"/>
  <c r="M16" i="7"/>
  <c r="F16" i="7"/>
  <c r="E16" i="7"/>
  <c r="D16" i="7"/>
  <c r="M15" i="7"/>
  <c r="F15" i="7"/>
  <c r="E15" i="7"/>
  <c r="D15" i="7"/>
  <c r="M14" i="7"/>
  <c r="F14" i="7"/>
  <c r="E14" i="7"/>
  <c r="D14" i="7"/>
  <c r="M13" i="7"/>
  <c r="F13" i="7"/>
  <c r="E13" i="7"/>
  <c r="D13" i="7"/>
  <c r="M12" i="7"/>
  <c r="F12" i="7"/>
  <c r="E12" i="7"/>
  <c r="D12" i="7"/>
  <c r="M11" i="7"/>
  <c r="F11" i="7"/>
  <c r="E11" i="7"/>
  <c r="D11" i="7"/>
  <c r="M10" i="7"/>
  <c r="F10" i="7"/>
  <c r="E10" i="7"/>
  <c r="D10" i="7"/>
  <c r="M9" i="7"/>
  <c r="F9" i="7"/>
  <c r="E9" i="7"/>
  <c r="D9" i="7"/>
  <c r="M8" i="7"/>
  <c r="F8" i="7"/>
  <c r="E8" i="7"/>
  <c r="D8" i="7"/>
  <c r="M7" i="7"/>
  <c r="F7" i="7"/>
  <c r="E7" i="7"/>
  <c r="D7" i="7"/>
  <c r="M6" i="7"/>
  <c r="F6" i="7"/>
  <c r="E6" i="7"/>
  <c r="D6" i="7"/>
  <c r="I55" i="6"/>
  <c r="D55" i="6"/>
  <c r="C55" i="6"/>
  <c r="I54" i="6"/>
  <c r="D54" i="6"/>
  <c r="C54" i="6"/>
  <c r="I53" i="6"/>
  <c r="D53" i="6"/>
  <c r="C53" i="6"/>
  <c r="I52" i="6"/>
  <c r="D52" i="6"/>
  <c r="C52" i="6"/>
  <c r="I51" i="6"/>
  <c r="D51" i="6"/>
  <c r="C51" i="6"/>
  <c r="I50" i="6"/>
  <c r="D50" i="6"/>
  <c r="C50" i="6"/>
  <c r="I49" i="6"/>
  <c r="D49" i="6"/>
  <c r="C49" i="6"/>
  <c r="I48" i="6"/>
  <c r="D48" i="6"/>
  <c r="C48" i="6"/>
  <c r="I47" i="6"/>
  <c r="D47" i="6"/>
  <c r="C47" i="6"/>
  <c r="I46" i="6"/>
  <c r="D46" i="6"/>
  <c r="C46" i="6"/>
  <c r="I45" i="6"/>
  <c r="D45" i="6"/>
  <c r="C45" i="6"/>
  <c r="I44" i="6"/>
  <c r="D44" i="6"/>
  <c r="C44" i="6"/>
  <c r="I43" i="6"/>
  <c r="D43" i="6"/>
  <c r="C43" i="6"/>
  <c r="I42" i="6"/>
  <c r="D42" i="6"/>
  <c r="C42" i="6"/>
  <c r="I41" i="6"/>
  <c r="D41" i="6"/>
  <c r="C41" i="6"/>
  <c r="I40" i="6"/>
  <c r="D40" i="6"/>
  <c r="C40" i="6"/>
  <c r="I39" i="6"/>
  <c r="D39" i="6"/>
  <c r="C39" i="6"/>
  <c r="I38" i="6"/>
  <c r="D38" i="6"/>
  <c r="C38" i="6"/>
  <c r="I37" i="6"/>
  <c r="D37" i="6"/>
  <c r="C37" i="6"/>
  <c r="I36" i="6"/>
  <c r="D36" i="6"/>
  <c r="C36" i="6"/>
  <c r="I35" i="6"/>
  <c r="D35" i="6"/>
  <c r="C35" i="6"/>
  <c r="I34" i="6"/>
  <c r="D34" i="6"/>
  <c r="C34" i="6"/>
  <c r="I33" i="6"/>
  <c r="D33" i="6"/>
  <c r="C33" i="6"/>
  <c r="I32" i="6"/>
  <c r="D32" i="6"/>
  <c r="C32" i="6"/>
  <c r="I31" i="6"/>
  <c r="D31" i="6"/>
  <c r="C31" i="6"/>
  <c r="I30" i="6"/>
  <c r="D30" i="6"/>
  <c r="C30" i="6"/>
  <c r="I29" i="6"/>
  <c r="D29" i="6"/>
  <c r="C29" i="6"/>
  <c r="I28" i="6"/>
  <c r="D28" i="6"/>
  <c r="C28" i="6"/>
  <c r="I27" i="6"/>
  <c r="D27" i="6"/>
  <c r="C27" i="6"/>
  <c r="I26" i="6"/>
  <c r="D26" i="6"/>
  <c r="C26" i="6"/>
  <c r="I25" i="6"/>
  <c r="D25" i="6"/>
  <c r="C25" i="6"/>
  <c r="I24" i="6"/>
  <c r="D24" i="6"/>
  <c r="C24" i="6"/>
  <c r="I23" i="6"/>
  <c r="D23" i="6"/>
  <c r="C23" i="6"/>
  <c r="I22" i="6"/>
  <c r="D22" i="6"/>
  <c r="C22" i="6"/>
  <c r="I21" i="6"/>
  <c r="D21" i="6"/>
  <c r="C21" i="6"/>
  <c r="I20" i="6"/>
  <c r="D20" i="6"/>
  <c r="C20" i="6"/>
  <c r="I19" i="6"/>
  <c r="D19" i="6"/>
  <c r="C19" i="6"/>
  <c r="I18" i="6"/>
  <c r="D18" i="6"/>
  <c r="C18" i="6"/>
  <c r="I17" i="6"/>
  <c r="D17" i="6"/>
  <c r="C17" i="6"/>
  <c r="I16" i="6"/>
  <c r="D16" i="6"/>
  <c r="C16" i="6"/>
  <c r="I15" i="6"/>
  <c r="D15" i="6"/>
  <c r="C15" i="6"/>
  <c r="I14" i="6"/>
  <c r="D14" i="6"/>
  <c r="C14" i="6"/>
  <c r="I13" i="6"/>
  <c r="D13" i="6"/>
  <c r="C13" i="6"/>
  <c r="I12" i="6"/>
  <c r="D12" i="6"/>
  <c r="C12" i="6"/>
  <c r="I11" i="6"/>
  <c r="D11" i="6"/>
  <c r="C11" i="6"/>
  <c r="I10" i="6"/>
  <c r="D10" i="6"/>
  <c r="C10" i="6"/>
  <c r="I9" i="6"/>
  <c r="D9" i="6"/>
  <c r="C9" i="6"/>
  <c r="I8" i="6"/>
  <c r="D8" i="6"/>
  <c r="C8" i="6"/>
  <c r="I7" i="6"/>
  <c r="D7" i="6"/>
  <c r="C7" i="6"/>
  <c r="I6" i="6"/>
  <c r="D6" i="6"/>
  <c r="C6" i="6"/>
  <c r="D36" i="3"/>
  <c r="E34" i="3"/>
  <c r="F34" i="3" s="1"/>
  <c r="E33" i="3"/>
  <c r="F33" i="3" s="1"/>
  <c r="E32" i="3"/>
  <c r="F32" i="3" s="1"/>
  <c r="F31" i="3"/>
  <c r="E31" i="3"/>
  <c r="E30" i="3"/>
  <c r="F30" i="3" s="1"/>
  <c r="F29" i="3"/>
  <c r="E29" i="3"/>
  <c r="E28" i="3"/>
  <c r="F28" i="3" s="1"/>
  <c r="E27" i="3"/>
  <c r="F27" i="3" s="1"/>
  <c r="E26" i="3"/>
  <c r="F26" i="3" s="1"/>
  <c r="E25" i="3"/>
  <c r="F25" i="3" s="1"/>
  <c r="E24" i="3"/>
  <c r="F24" i="3" s="1"/>
  <c r="F23" i="3"/>
  <c r="E23" i="3"/>
  <c r="E22" i="3"/>
  <c r="F22" i="3" s="1"/>
  <c r="E21" i="3"/>
  <c r="F21" i="3" s="1"/>
  <c r="E20" i="3"/>
  <c r="F20" i="3" s="1"/>
  <c r="E19" i="3"/>
  <c r="F19" i="3" s="1"/>
  <c r="E18" i="3"/>
  <c r="F18" i="3" s="1"/>
  <c r="E17" i="3"/>
  <c r="F17" i="3" s="1"/>
  <c r="E16" i="3"/>
  <c r="F16" i="3" s="1"/>
  <c r="F15" i="3"/>
  <c r="E15" i="3"/>
  <c r="E14" i="3"/>
  <c r="F14" i="3" s="1"/>
  <c r="E13" i="3"/>
  <c r="F13" i="3" s="1"/>
  <c r="E12" i="3"/>
  <c r="F12" i="3" s="1"/>
  <c r="E11" i="3"/>
  <c r="F11" i="3" s="1"/>
  <c r="E10" i="3"/>
  <c r="F10" i="3" s="1"/>
  <c r="E9" i="3"/>
  <c r="F9" i="3" s="1"/>
  <c r="E8" i="3"/>
  <c r="F8" i="3" s="1"/>
  <c r="E7" i="3"/>
  <c r="F7" i="3" s="1"/>
  <c r="E6" i="3"/>
  <c r="F6" i="3" s="1"/>
  <c r="E5" i="3"/>
  <c r="F5" i="3" s="1"/>
  <c r="B16" i="2"/>
  <c r="B15" i="2"/>
  <c r="E8" i="2" s="1"/>
  <c r="E9" i="2" s="1"/>
  <c r="B14" i="2"/>
  <c r="E13" i="2"/>
  <c r="B13" i="2"/>
  <c r="E12" i="2"/>
  <c r="B12" i="2"/>
  <c r="E11" i="2"/>
  <c r="B11" i="2"/>
  <c r="E10" i="2"/>
  <c r="B10" i="2"/>
  <c r="B8" i="2"/>
  <c r="B9" i="2" s="1"/>
  <c r="E7" i="2"/>
  <c r="B7" i="2"/>
  <c r="F36" i="3" l="1"/>
  <c r="E36" i="3"/>
</calcChain>
</file>

<file path=xl/sharedStrings.xml><?xml version="1.0" encoding="utf-8"?>
<sst xmlns="http://schemas.openxmlformats.org/spreadsheetml/2006/main" count="7101" uniqueCount="1837">
  <si>
    <t>产品规格识别测试集模板</t>
  </si>
  <si>
    <t>用于构建人工标注基准集，并评估型号校验、规格准确率、证据质量、耗时和内存。</t>
  </si>
  <si>
    <t>推荐工作流</t>
  </si>
  <si>
    <t>步骤</t>
  </si>
  <si>
    <t>工作表</t>
  </si>
  <si>
    <t>操作</t>
  </si>
  <si>
    <t>完成标准</t>
  </si>
  <si>
    <t>采样计划</t>
  </si>
  <si>
    <t>按产品形态选择 20–30 份起步文档；优先覆盖不同厂商、数字版/扫描版和复杂表格。</t>
  </si>
  <si>
    <t>目标数与实际数差距接近 0</t>
  </si>
  <si>
    <t>案例清单</t>
  </si>
  <si>
    <t>每份 Datasheet 建立唯一案例 ID，登记型号、来源、文档类型和容易混淆的型号。</t>
  </si>
  <si>
    <t>一份文档一行</t>
  </si>
  <si>
    <t>标准答案</t>
  </si>
  <si>
    <t>逐字段填写人工确认的标准值、页码和原文证据；至少两人复核高风险字段。</t>
  </si>
  <si>
    <t>审核状态为 Approved</t>
  </si>
  <si>
    <t>型号评测</t>
  </si>
  <si>
    <t>每次算法运行填写预测型号和证据；判定列自动计算。</t>
  </si>
  <si>
    <t>无空白运行 ID/案例 ID</t>
  </si>
  <si>
    <t>规格评测</t>
  </si>
  <si>
    <t>每个标准答案字段复制一行；无预测则保持预测状态为空。额外预测使用空 GT_ID。</t>
  </si>
  <si>
    <t>判定列得到 TP/FP/FN/VALUE_ERROR</t>
  </si>
  <si>
    <t>运行记录</t>
  </si>
  <si>
    <t>记录算法版本、总耗时、解析/AI 耗时和峰值内存。</t>
  </si>
  <si>
    <t>每个 Run × Case 一行</t>
  </si>
  <si>
    <t>核心指标定义</t>
  </si>
  <si>
    <t>指标</t>
  </si>
  <si>
    <t>计算口径</t>
  </si>
  <si>
    <t>建议关注点</t>
  </si>
  <si>
    <t>说明</t>
  </si>
  <si>
    <t>字段精确率</t>
  </si>
  <si>
    <t>TP ÷ (TP + FP + VALUE_ERROR)</t>
  </si>
  <si>
    <t>减少错误写入</t>
  </si>
  <si>
    <t>数值错误既不是正确预测，也消耗预测名额。</t>
  </si>
  <si>
    <t>字段召回率</t>
  </si>
  <si>
    <t>TP ÷ (TP + FN + VALUE_ERROR)</t>
  </si>
  <si>
    <t>减少遗漏字段</t>
  </si>
  <si>
    <t>每个标准答案字段都必须出现在规格评测中。</t>
  </si>
  <si>
    <t>字段 F1</t>
  </si>
  <si>
    <t>精确率与召回率的调和平均</t>
  </si>
  <si>
    <t>总体比较</t>
  </si>
  <si>
    <t>用于比较不同算法版本。</t>
  </si>
  <si>
    <t>型号准确率</t>
  </si>
  <si>
    <t>正确型号判定 ÷ 型号评测案例数</t>
  </si>
  <si>
    <t>防止写错产品</t>
  </si>
  <si>
    <t>False Accept 应作为最高风险错误。</t>
  </si>
  <si>
    <t>证据正确率</t>
  </si>
  <si>
    <t>Evidence Correct=Yes ÷ 已评价证据数</t>
  </si>
  <si>
    <t>可审计性</t>
  </si>
  <si>
    <t>页码与原文必须能支持该字段。</t>
  </si>
  <si>
    <t>平均耗时/峰值内存</t>
  </si>
  <si>
    <t>按运行记录汇总</t>
  </si>
  <si>
    <t>部署可用性</t>
  </si>
  <si>
    <t>数字版与扫描版应分组比较。</t>
  </si>
  <si>
    <t>填写规则与颜色</t>
  </si>
  <si>
    <t>颜色</t>
  </si>
  <si>
    <t>含义</t>
  </si>
  <si>
    <t>规则</t>
  </si>
  <si>
    <t>浅黄色</t>
  </si>
  <si>
    <t>人工输入</t>
  </si>
  <si>
    <t>由标注人员或系统运行结果填写。</t>
  </si>
  <si>
    <t>浅灰色</t>
  </si>
  <si>
    <t>公式计算</t>
  </si>
  <si>
    <t>不要覆盖；扩展数据行时复制上一行公式。</t>
  </si>
  <si>
    <t>浅绿色</t>
  </si>
  <si>
    <t>通过/正确</t>
  </si>
  <si>
    <t>自动条件格式。</t>
  </si>
  <si>
    <t>浅红色</t>
  </si>
  <si>
    <t>错误/缺失</t>
  </si>
  <si>
    <t>需要检查标准答案、模型输出或字段定义。</t>
  </si>
  <si>
    <t>标识符</t>
  </si>
  <si>
    <t>Case_ID / GT_ID / Run_ID</t>
  </si>
  <si>
    <t>建议格式：CASE-0001、GT-000001、RUN-YYYYMMDD-A。</t>
  </si>
  <si>
    <t>算法评测汇总</t>
  </si>
  <si>
    <t>在 B3 输入 Run_ID；其余指标从型号评测、规格评测和运行记录自动计算。</t>
  </si>
  <si>
    <t>Selected Run_ID</t>
  </si>
  <si>
    <t>准确率与召回率</t>
  </si>
  <si>
    <t>核心 KPI</t>
  </si>
  <si>
    <t>Metric</t>
  </si>
  <si>
    <t>Value</t>
  </si>
  <si>
    <t>KPI</t>
  </si>
  <si>
    <t>Model Cases</t>
  </si>
  <si>
    <t>Field Precision</t>
  </si>
  <si>
    <t>Model Correct</t>
  </si>
  <si>
    <t>Field Recall</t>
  </si>
  <si>
    <t>Model Accuracy</t>
  </si>
  <si>
    <t>Field F1</t>
  </si>
  <si>
    <t>False Accept</t>
  </si>
  <si>
    <t>Evidence Accuracy</t>
  </si>
  <si>
    <t>False Reject</t>
  </si>
  <si>
    <t>Average Total Seconds</t>
  </si>
  <si>
    <t>Expected Spec Rows</t>
  </si>
  <si>
    <t>Average Peak RAM MB</t>
  </si>
  <si>
    <t>TP</t>
  </si>
  <si>
    <t>Completed Cases</t>
  </si>
  <si>
    <t>FP</t>
  </si>
  <si>
    <t>FN</t>
  </si>
  <si>
    <t>Value Errors</t>
  </si>
  <si>
    <t>判定口径</t>
  </si>
  <si>
    <t>字段、状态和值均与标准答案一致。</t>
  </si>
  <si>
    <t>系统输出了标准答案中不存在的字段。</t>
  </si>
  <si>
    <t>标准答案存在字段，但系统没有输出预测状态。</t>
  </si>
  <si>
    <t>VALUE_ERROR</t>
  </si>
  <si>
    <t>字段存在，但状态或标准化值不正确；同时影响精确率与召回率。</t>
  </si>
  <si>
    <t>文档不属于目标型号，但系统接受；属于最高风险型号错误。</t>
  </si>
  <si>
    <t>提示</t>
  </si>
  <si>
    <t>先填案例清单与标准答案，再录入运行结果。汇总为空时通常是 Run_ID 不一致。</t>
  </si>
  <si>
    <t>按产品形态采样计划</t>
  </si>
  <si>
    <t>默认每种产品形态 1 份，合计 30 份；Other/Unknown 可替换为高风险或复杂文档。</t>
  </si>
  <si>
    <t>Category</t>
  </si>
  <si>
    <t>Product Type Code</t>
  </si>
  <si>
    <t>Product Type</t>
  </si>
  <si>
    <t>Target</t>
  </si>
  <si>
    <t>Actual</t>
  </si>
  <si>
    <t>Gap</t>
  </si>
  <si>
    <t>Selection Notes</t>
  </si>
  <si>
    <t>Access Point</t>
  </si>
  <si>
    <t>ceiling</t>
  </si>
  <si>
    <t>Ceiling Mount</t>
  </si>
  <si>
    <t>wall</t>
  </si>
  <si>
    <t>Wall Mount</t>
  </si>
  <si>
    <t>wall_plate</t>
  </si>
  <si>
    <t>Wall Plate</t>
  </si>
  <si>
    <t>outdoor</t>
  </si>
  <si>
    <t>Outdoor</t>
  </si>
  <si>
    <t>desktop</t>
  </si>
  <si>
    <t>Desktop</t>
  </si>
  <si>
    <t>extender</t>
  </si>
  <si>
    <t>Extender</t>
  </si>
  <si>
    <t>other</t>
  </si>
  <si>
    <t>Other AP</t>
  </si>
  <si>
    <t>可替换为同类别复杂案例</t>
  </si>
  <si>
    <t>Accessories</t>
  </si>
  <si>
    <t>poe_injector</t>
  </si>
  <si>
    <t>PoE Injector</t>
  </si>
  <si>
    <t>power_supply</t>
  </si>
  <si>
    <t>Power Supply</t>
  </si>
  <si>
    <t>media_converter</t>
  </si>
  <si>
    <t>Media Converter</t>
  </si>
  <si>
    <t>optical_module</t>
  </si>
  <si>
    <t>Optical Module</t>
  </si>
  <si>
    <t>dac_cable</t>
  </si>
  <si>
    <t>DAC Cable</t>
  </si>
  <si>
    <t>mounting</t>
  </si>
  <si>
    <t>Mounting Accessory</t>
  </si>
  <si>
    <t>chassis</t>
  </si>
  <si>
    <t>Chassis</t>
  </si>
  <si>
    <t>antenna</t>
  </si>
  <si>
    <t>Antenna</t>
  </si>
  <si>
    <t>junction_box</t>
  </si>
  <si>
    <t>Junction Box</t>
  </si>
  <si>
    <t>Other Accessory</t>
  </si>
  <si>
    <t>Gateway</t>
  </si>
  <si>
    <t>wired_router</t>
  </si>
  <si>
    <t>Wired Router</t>
  </si>
  <si>
    <t>wireless_router</t>
  </si>
  <si>
    <t>Wireless Router</t>
  </si>
  <si>
    <t>cellular_router</t>
  </si>
  <si>
    <t>Cellular Router</t>
  </si>
  <si>
    <t>outdoor_cellular_router</t>
  </si>
  <si>
    <t>Outdoor Cellular Router</t>
  </si>
  <si>
    <t>integrated_gateway</t>
  </si>
  <si>
    <t>Integrated Gateway</t>
  </si>
  <si>
    <t>Other Router</t>
  </si>
  <si>
    <t>Managed Switch</t>
  </si>
  <si>
    <t>l2</t>
  </si>
  <si>
    <t>Layer 2</t>
  </si>
  <si>
    <t>l2_plus</t>
  </si>
  <si>
    <t>Layer 2+</t>
  </si>
  <si>
    <t>l3</t>
  </si>
  <si>
    <t>Layer 3</t>
  </si>
  <si>
    <t>unknown</t>
  </si>
  <si>
    <t>Unknown Layer</t>
  </si>
  <si>
    <t>Unmanaged / Easy Smart Switch</t>
  </si>
  <si>
    <t>unmanaged</t>
  </si>
  <si>
    <t>Unmanaged</t>
  </si>
  <si>
    <t>easy_smart</t>
  </si>
  <si>
    <t>Easy Smart</t>
  </si>
  <si>
    <t>Unknown Management Type</t>
  </si>
  <si>
    <t>总计</t>
  </si>
  <si>
    <t>Datasheet 案例清单</t>
  </si>
  <si>
    <t>每份文档一行；黄色列由标注人员填写。预留 50 行，可在表格末尾继续新增。</t>
  </si>
  <si>
    <t>Case_ID</t>
  </si>
  <si>
    <t>Brand</t>
  </si>
  <si>
    <t>Target_Model</t>
  </si>
  <si>
    <t>Product_Type_Code</t>
  </si>
  <si>
    <t>Region</t>
  </si>
  <si>
    <t>Language</t>
  </si>
  <si>
    <t>Document_URL_or_Path</t>
  </si>
  <si>
    <t>SHA256</t>
  </si>
  <si>
    <t>Document_Kind</t>
  </si>
  <si>
    <t>Page_Count</t>
  </si>
  <si>
    <t>Layout_Complexity</t>
  </si>
  <si>
    <t>Has_Tables</t>
  </si>
  <si>
    <t>Has_Charts</t>
  </si>
  <si>
    <t>Similar_Models_Present</t>
  </si>
  <si>
    <t>Expected_Model_Match</t>
  </si>
  <si>
    <t>Confusing_Model</t>
  </si>
  <si>
    <t>Annotation_Status</t>
  </si>
  <si>
    <t>Annotator</t>
  </si>
  <si>
    <t>Reviewer</t>
  </si>
  <si>
    <t>Notes</t>
  </si>
  <si>
    <t>CASE-0001</t>
  </si>
  <si>
    <t>Reyee</t>
  </si>
  <si>
    <t>RG-RAP72</t>
  </si>
  <si>
    <t>US</t>
  </si>
  <si>
    <t>English</t>
  </si>
  <si>
    <t>D:\APProductDB\media\datasheets\reyee\RGRAP72\dbb263c1d5a04bc491a3dc8b906a5608.pdf</t>
  </si>
  <si>
    <t>DB916B8172FA7A93CEBDC5596B3617453D3E8F73CC62AD581D99E8FEA66563CF</t>
  </si>
  <si>
    <t>Digital PDF</t>
  </si>
  <si>
    <t>High</t>
  </si>
  <si>
    <t>Yes</t>
  </si>
  <si>
    <t>No</t>
  </si>
  <si>
    <t>In Review</t>
  </si>
  <si>
    <t>Codex (reference draft)</t>
  </si>
  <si>
    <t>基于上传 PDF 逐页核验；正式来源：https://reyee.ruijie.com/en-global/resources/preview/rg-rap72-datasheet/。请由业务人员复核后改为 Approved。</t>
  </si>
  <si>
    <t>CASE-0002</t>
  </si>
  <si>
    <t>DrayTek</t>
  </si>
  <si>
    <t>Vigor2927</t>
  </si>
  <si>
    <t>UN</t>
  </si>
  <si>
    <t>C:\Users\admin\Desktop\test\2927 datasheet-5G-260701.pdf</t>
  </si>
  <si>
    <t>1BCD8F790FAC3FA702A7C40FA312EA447D768DC8C3A28524ABCF85D9B5B03E74</t>
  </si>
  <si>
    <t>Low</t>
  </si>
  <si>
    <t>Vigor2927ax; Vigor2927L; Vigor2927L-5G; Vigor2927Vac; Vigor2927Lac</t>
  </si>
  <si>
    <t>Codex (batch reference draft)</t>
  </si>
  <si>
    <t>批量参考草稿；需由业务人员逐条复核后改为 Approved。 该 PDF 包含多个相近型号，标准答案仅针对 Target_Model。</t>
  </si>
  <si>
    <t>CASE-0003</t>
  </si>
  <si>
    <t>Vigor2962</t>
  </si>
  <si>
    <t>C:\Users\admin\Desktop\test\2962 datasheet-260701.pdf</t>
  </si>
  <si>
    <t>EEF0871ED56DED4A4BF55225217824FCDE53E2EE81BFB5C29E9B3E2E6232D337</t>
  </si>
  <si>
    <t>批量参考草稿；需由业务人员逐条复核后改为 Approved。</t>
  </si>
  <si>
    <t>CASE-0004</t>
  </si>
  <si>
    <t>NETGEAR</t>
  </si>
  <si>
    <t>GS305</t>
  </si>
  <si>
    <t>C:\Users\admin\Desktop\test\300-Series_Gigabit_DS.pdf</t>
  </si>
  <si>
    <t>C50C2386463495FB01376925BD5DAC9A73FAC0649D51080E33FDF38ACDCBEBED</t>
  </si>
  <si>
    <t>Medium</t>
  </si>
  <si>
    <t>GS308; GS324; GS348</t>
  </si>
  <si>
    <t>CASE-0005</t>
  </si>
  <si>
    <t>MikroTik</t>
  </si>
  <si>
    <t>CCR1009-7G-1C-1S+</t>
  </si>
  <si>
    <t>C:\Users\admin\Desktop\test\CCR1009-7G-1C-1S_210502.pdf</t>
  </si>
  <si>
    <t>C0A200D399A3B889CD36CA03BA117C6A398DA31417EBB80753EE423B92D6CB28</t>
  </si>
  <si>
    <t>CASE-0006</t>
  </si>
  <si>
    <t>Cisco</t>
  </si>
  <si>
    <t>QSFP-100G-SR4-S</t>
  </si>
  <si>
    <t>C:\Users\admin\Desktop\test\datasheet-c78-736282.pdf</t>
  </si>
  <si>
    <t>2505CF51617A665B2F999AFB6FB1C21FBB7ED360A8799A2A5EA1534C42002A31</t>
  </si>
  <si>
    <t>Other Cisco QSFP-100G optical modules in the same datasheet</t>
  </si>
  <si>
    <t>CASE-0007</t>
  </si>
  <si>
    <t>Dahua</t>
  </si>
  <si>
    <t>DH-PFS3010-8ET-65</t>
  </si>
  <si>
    <t>C:\Users\admin\Desktop\test\DH-PFS3010-8ET-65_datasheet.pdf</t>
  </si>
  <si>
    <t>53F6FBF29DC3D423B0F49B98FBE588C92B830FEAAAFE5E16B8E925D3D02DFFA1</t>
  </si>
  <si>
    <t>CASE-0008</t>
  </si>
  <si>
    <t>D-Link</t>
  </si>
  <si>
    <t>DMC-G01LC</t>
  </si>
  <si>
    <t>C:\Users\admin\Desktop\test\DMC_G01LC_B1_Datasheet_EN_EU.pdf</t>
  </si>
  <si>
    <t>6BB26400C645492E6A75DFF461D47118B384E18D6DC9C10A02F4CFD3D60655BD</t>
  </si>
  <si>
    <t>CASE-0009</t>
  </si>
  <si>
    <t>Hikvision</t>
  </si>
  <si>
    <t>DS-3E1505P-EI/M</t>
  </si>
  <si>
    <t>C:\Users\admin\Desktop\test\DS-3E1505P-EI_M_Datasheet_20231023.pdf</t>
  </si>
  <si>
    <t>C68E741544637E468C92C0C2896650EE97E877AACBDA54DDE398A7B36B6E7D4E</t>
  </si>
  <si>
    <t>CASE-0010</t>
  </si>
  <si>
    <t>DS-3WF02C-5AC/O</t>
  </si>
  <si>
    <t>Wireless Bridge</t>
  </si>
  <si>
    <t>C:\Users\admin\Desktop\test\DS-3WF02C-5AC_O_Datasheet_20260305.pdf</t>
  </si>
  <si>
    <t>C3CF711E5FDB80B04E0896A222F228EAF6A11351425606055411481607E4CC0F</t>
  </si>
  <si>
    <t>CASE-0011</t>
  </si>
  <si>
    <t>TRENDnet</t>
  </si>
  <si>
    <t>TEG-082WS (v2.5R)</t>
  </si>
  <si>
    <t>C:\Users\admin\Desktop\test\EN_datasheet_TEG-082WS_(v2.5R).pdf</t>
  </si>
  <si>
    <t>44AD08AB1453EA3316BF59EB3D96E905D2DB7144E4FDB1A3ECCBCE5FAC615BD2</t>
  </si>
  <si>
    <t>CASE-0012</t>
  </si>
  <si>
    <t>H3C</t>
  </si>
  <si>
    <t>S6550X-32H-HI</t>
  </si>
  <si>
    <t>C:\Users\admin\Desktop\test\H3C S6550X-HI Switch Series Hardware Information and Specifications-6W101-book.pdf</t>
  </si>
  <si>
    <t>B282D6C404806CBEA4BD19120362216D2CBB86415532D71323794296022CFC63</t>
  </si>
  <si>
    <t>Other H3C S6550X-HI series models</t>
  </si>
  <si>
    <t>CASE-0013</t>
  </si>
  <si>
    <t>Aruba</t>
  </si>
  <si>
    <t>J9283D</t>
  </si>
  <si>
    <t>C:\Users\admin\Desktop\test\HPE Aruba Networking 10G SFP+ to SFP+ 3m Direct Attach Copper Cable data sheet-PSN1010420529PLEN.pdf</t>
  </si>
  <si>
    <t>D23CB1BD2C71CC2602071F74BDDDB7D891BB6FDE9A511D8E2945A699795BDDFA</t>
  </si>
  <si>
    <t>CASE-0014</t>
  </si>
  <si>
    <t>2530-24 Switch (J9782A)</t>
  </si>
  <si>
    <t>C:\Users\admin\Desktop\test\HPE Aruba Networking 2530 Switch Series-c04111414.pdf</t>
  </si>
  <si>
    <t>870AF4177F441812C9962CBB92D6456DCB9FB7A9533AD31A24255A0CBF3F9591</t>
  </si>
  <si>
    <t>Other Aruba 2530 Series models</t>
  </si>
  <si>
    <t>CASE-0015</t>
  </si>
  <si>
    <t>Huawei</t>
  </si>
  <si>
    <t>eKitEngine S310-24T4X</t>
  </si>
  <si>
    <t>C:\Users\admin\Desktop\test\Huawei ekitEngine S310 Series Switches Datasheet.pdf</t>
  </si>
  <si>
    <t>C5E2FECC15CBC04EB965CD03A3DB20F9774CF583A6DC5B82013C482F15647EBC</t>
  </si>
  <si>
    <t>Other Huawei eKitEngine S310 Series models</t>
  </si>
  <si>
    <t>CASE-0016</t>
  </si>
  <si>
    <t>Meraki</t>
  </si>
  <si>
    <t>MS250-24-HW</t>
  </si>
  <si>
    <t>C:\Users\admin\Desktop\test\meraki_datasheet_ms250.pdf</t>
  </si>
  <si>
    <t>F3D47A199A8F9DDC34631AF9DB838701DD225572F2D6B29A58ED7DD711B00457</t>
  </si>
  <si>
    <t>MS250-24P-HW; MS250-48-HW; MS250-48FP-HW</t>
  </si>
  <si>
    <t>CASE-0017</t>
  </si>
  <si>
    <t>C1300-24T-4X</t>
  </si>
  <si>
    <t>C:\Users\admin\Desktop\test\nb-06-cat1300-ser-data-sheet-cte-en.pdf</t>
  </si>
  <si>
    <t>B2868379C09805F327FDC0ECCD8FD17153ADB965C56EE9486846DDF44CA3F25C</t>
  </si>
  <si>
    <t>Other Cisco Catalyst 1300/1300X Series models</t>
  </si>
  <si>
    <t>CASE-0018</t>
  </si>
  <si>
    <t>Zyxel</t>
  </si>
  <si>
    <t>PoE12-90W</t>
  </si>
  <si>
    <t>C:\Users\admin\Desktop\test\poe12-90w_ds.pdf</t>
  </si>
  <si>
    <t>03492304F2EBB4B196ED2F7A8A275D8107F85CF6ED9BE5E24812DDA6B8ECA7DB</t>
  </si>
  <si>
    <t>PoE12-30W; PoE12-60W</t>
  </si>
  <si>
    <t>CASE-0019</t>
  </si>
  <si>
    <t>RG-EG105GW(T)</t>
  </si>
  <si>
    <t>C:\Users\admin\Desktop\test\RG-EG105GW(T)_Datasheet_Official_2026-03-02.pdf</t>
  </si>
  <si>
    <t>76F3EDD132FD2A5F2FE7C7C30D009205EED6870970C60EBB50EDB8D36E3BB9B4</t>
  </si>
  <si>
    <t>CASE-0020</t>
  </si>
  <si>
    <t>RG-ES218GC-P</t>
  </si>
  <si>
    <t>C:\Users\admin\Desktop\test\RG-ES218GC-P_Datasheet_Official_2026-05-13.pdf</t>
  </si>
  <si>
    <t>DA6DFF2551EA53E9ECD3661AAC9F3EA5D7F1DBF63722798442CD898E013AD5DB</t>
  </si>
  <si>
    <t>CASE-0021</t>
  </si>
  <si>
    <t>RUCKUS</t>
  </si>
  <si>
    <t>T670</t>
  </si>
  <si>
    <t>C:\Users\admin\Desktop\test\RUCKUS T670 Data sheet.pdf</t>
  </si>
  <si>
    <t>3B3698B4C50770BEE50EF9120E2603C7A13ED42BFADBD5036E5E64C72AD32B48</t>
  </si>
  <si>
    <t>CASE-0022</t>
  </si>
  <si>
    <t>Tenda</t>
  </si>
  <si>
    <t>S108</t>
  </si>
  <si>
    <t>C:\Users\admin\Desktop\test\S108 V8.0 Datasheet.pdf</t>
  </si>
  <si>
    <t>5C7F43C725D8D8481CB15AE447112707BB015FFBE3175F744BCEE97CB89EC1CA</t>
  </si>
  <si>
    <t>S105</t>
  </si>
  <si>
    <t>CASE-0023</t>
  </si>
  <si>
    <t>Ubiquiti</t>
  </si>
  <si>
    <t>U7-Pro-Wall</t>
  </si>
  <si>
    <t>C:\Users\admin\Desktop\test\U7-Pro-Wall.pdf</t>
  </si>
  <si>
    <t>5EF233EBEF38EB2F23BECCEFEBA45CE5BCCA779A86BF147B41EFDBD5691501AE</t>
  </si>
  <si>
    <t>Image-based PDF</t>
  </si>
  <si>
    <t>批量参考草稿；需由业务人员逐条复核后改为 Approved。 该 PDF 为图像/特殊编码页面，已按渲染页面人工核对。</t>
  </si>
  <si>
    <t>CASE-0024</t>
  </si>
  <si>
    <t>UCG-Ultra</t>
  </si>
  <si>
    <t>C:\Users\admin\Desktop\test\UCG-Ultra.pdf</t>
  </si>
  <si>
    <t>B3E3B359ACEB9EBBBF40CE9C0C89EA32EABABC29E1EE47AA1FD53A25F27B2F77</t>
  </si>
  <si>
    <t>逐字段标准答案（Ground Truth）</t>
  </si>
  <si>
    <t>一条规格一行；Normalized Value 使用数据库单位。所有写入数据库的字段必须有页码和证据。</t>
  </si>
  <si>
    <t>GT_ID</t>
  </si>
  <si>
    <t>Spec_Code</t>
  </si>
  <si>
    <t>Value_Status</t>
  </si>
  <si>
    <t>Expected_Normalized_Value</t>
  </si>
  <si>
    <t>Value_Type</t>
  </si>
  <si>
    <t>Unit</t>
  </si>
  <si>
    <t>Expected_Raw_Value</t>
  </si>
  <si>
    <t>Page</t>
  </si>
  <si>
    <t>Evidence_Excerpt</t>
  </si>
  <si>
    <t>Scope</t>
  </si>
  <si>
    <t>Evidence_Grade</t>
  </si>
  <si>
    <t>Required_Field</t>
  </si>
  <si>
    <t>Review_Status</t>
  </si>
  <si>
    <t>GT-000001</t>
  </si>
  <si>
    <t>supported_bands</t>
  </si>
  <si>
    <t>Published</t>
  </si>
  <si>
    <t>2.4 GHz; 5 GHz</t>
  </si>
  <si>
    <t>text</t>
  </si>
  <si>
    <t>2.4 GHz and 5 GHz; 6 GHz: No</t>
  </si>
  <si>
    <t>6 GHz Wi-Fi: No; operating bands are listed for 2.4 GHz and 5 GHz.</t>
  </si>
  <si>
    <t>Global</t>
  </si>
  <si>
    <t>A</t>
  </si>
  <si>
    <t>依据上传 PDF 人工核验；请由业务人员复核后批准。</t>
  </si>
  <si>
    <t>GT-000002</t>
  </si>
  <si>
    <t>total_spatial_streams</t>
  </si>
  <si>
    <t>integer</t>
  </si>
  <si>
    <t>4 spatial streams</t>
  </si>
  <si>
    <t>Radio design: Dual-radio; 4 spatial streams.</t>
  </si>
  <si>
    <t>GT-000003</t>
  </si>
  <si>
    <t>rate_2g_mbps</t>
  </si>
  <si>
    <t>Mbps</t>
  </si>
  <si>
    <t>688 Mbps</t>
  </si>
  <si>
    <t>2.4 GHz wireless data rate: 688 Mbps.</t>
  </si>
  <si>
    <t>2.4 GHz</t>
  </si>
  <si>
    <t>GT-000004</t>
  </si>
  <si>
    <t>rate_5g_mbps</t>
  </si>
  <si>
    <t>2882 Mbps</t>
  </si>
  <si>
    <t>5 GHz wireless data rate: 2882 Mbps.</t>
  </si>
  <si>
    <t>5 GHz</t>
  </si>
  <si>
    <t>GT-000005</t>
  </si>
  <si>
    <t>rate_6g_mbps</t>
  </si>
  <si>
    <t>Not Applicable</t>
  </si>
  <si>
    <t>6 GHz wireless data rate: No.</t>
  </si>
  <si>
    <t>6 GHz</t>
  </si>
  <si>
    <t>GT-000006</t>
  </si>
  <si>
    <t>max_channel_width_mhz</t>
  </si>
  <si>
    <t>MHz</t>
  </si>
  <si>
    <t>Auto/20/40/80/160 MHz</t>
  </si>
  <si>
    <t>5 GHz channel width: Auto/20/40/80/160 MHz.</t>
  </si>
  <si>
    <t>5 GHz / maximum</t>
  </si>
  <si>
    <t>GT-000007</t>
  </si>
  <si>
    <t>ethernet_interfaces</t>
  </si>
  <si>
    <t>1 × 10/100/1000/2500BASE-T</t>
  </si>
  <si>
    <t>Number of 10/100/1000/2500BASE-T ports: 1</t>
  </si>
  <si>
    <t>Number of 10/100/1000/2500BASE-T ports: 1.</t>
  </si>
  <si>
    <t>GT-000008</t>
  </si>
  <si>
    <t>poe_input</t>
  </si>
  <si>
    <t>IEEE 802.3af (PoE); IEEE 802.3at (PoE+)</t>
  </si>
  <si>
    <t>PoE In standard: IEEE 802.3af (PoE) and IEEE 802.3at (PoE+).</t>
  </si>
  <si>
    <t>GT-000009</t>
  </si>
  <si>
    <t>max_clients</t>
  </si>
  <si>
    <t>511 (2.4 GHz and 5 GHz enabled)</t>
  </si>
  <si>
    <t>Maximum associated wireless clients: 511 when 2.4 GHz and 5 GHz are enabled.</t>
  </si>
  <si>
    <t>2.4 + 5 GHz enabled</t>
  </si>
  <si>
    <t>GT-000010</t>
  </si>
  <si>
    <t>mimo_2g</t>
  </si>
  <si>
    <t>2 × 2 MU-MIMO</t>
  </si>
  <si>
    <t>2.4 GHz: 2 x 2, MU-MIMO</t>
  </si>
  <si>
    <t>Radio design: 2.4 GHz: 2 x 2, MU-MIMO.</t>
  </si>
  <si>
    <t>GT-000011</t>
  </si>
  <si>
    <t>mimo_5g</t>
  </si>
  <si>
    <t>5 GHz: 2 x 2, MU-MIMO</t>
  </si>
  <si>
    <t>Radio design: 5 GHz: 2 x 2, MU-MIMO.</t>
  </si>
  <si>
    <t>GT-000012</t>
  </si>
  <si>
    <t>mimo_6g</t>
  </si>
  <si>
    <t>6 GHz Wi-Fi: No</t>
  </si>
  <si>
    <t>6 GHz Wi-Fi: No; the product is dual-radio.</t>
  </si>
  <si>
    <t>GT-000013</t>
  </si>
  <si>
    <t>antenna_type</t>
  </si>
  <si>
    <t>2.4 GHz: 2 built-in omnidirectional antennas; 5 GHz: 3 built-in omnidirectional antennas</t>
  </si>
  <si>
    <t>Antenna counts and type are stated separately for 2.4 GHz and 5 GHz.</t>
  </si>
  <si>
    <t>Per band</t>
  </si>
  <si>
    <t>GT-000014</t>
  </si>
  <si>
    <t>antenna_gain_dbi</t>
  </si>
  <si>
    <t>2.4 GHz: 3.23 dBi; 5 GHz: 4.44 dBi</t>
  </si>
  <si>
    <t>dBi</t>
  </si>
  <si>
    <t>Antenna gain (2.4 GHz): 3.23 dBi; Antenna gain (5 GHz): 4.44 dBi</t>
  </si>
  <si>
    <t>Both 2.4 GHz and 5 GHz antenna gains are explicitly listed.</t>
  </si>
  <si>
    <t>GT-000015</t>
  </si>
  <si>
    <t>centralized_management</t>
  </si>
  <si>
    <t>Ruijie Reyee App; eWeb; Ruijie Cloud</t>
  </si>
  <si>
    <t>Ruijie Reyee App management; eWeb management; Ruijie Cloud management</t>
  </si>
  <si>
    <t>Ruijie Reyee App, eWeb, and Ruijie Cloud management are all supported.</t>
  </si>
  <si>
    <t>GT-000016</t>
  </si>
  <si>
    <t>mesh_support</t>
  </si>
  <si>
    <t>true</t>
  </si>
  <si>
    <t>boolean</t>
  </si>
  <si>
    <t>Mesh management: Yes; AP Mesh: Yes</t>
  </si>
  <si>
    <t>Mesh management: Yes; AP Mesh: Yes.</t>
  </si>
  <si>
    <t>GT-000017</t>
  </si>
  <si>
    <t>fast_roaming</t>
  </si>
  <si>
    <t>802.11k/v; 802.11r; Layer 2 roaming; Layer 3 roaming; AI roaming</t>
  </si>
  <si>
    <t>802.11k/v roaming; Fast transition (802.11r); Layer 2/3 roaming; AI roaming</t>
  </si>
  <si>
    <t>The roaming table marks 802.11k/v, 802.11r, Layer 2, Layer 3, and AI roaming as Yes.</t>
  </si>
  <si>
    <t>GT-000018</t>
  </si>
  <si>
    <t>max_power_consumption_w</t>
  </si>
  <si>
    <t>decimal</t>
  </si>
  <si>
    <t>W</t>
  </si>
  <si>
    <t>14 W</t>
  </si>
  <si>
    <t>Maximum power consumption: 14 W.</t>
  </si>
  <si>
    <t>GT-000019</t>
  </si>
  <si>
    <t>dimensions_mm</t>
  </si>
  <si>
    <t>Ø195 × 41 mm (excluding mounting bracket)</t>
  </si>
  <si>
    <t>mm</t>
  </si>
  <si>
    <t>Ø195 mm x 41 mm (excluding the mounting bracket)</t>
  </si>
  <si>
    <t>Product dimensions (diameter x height): Ø195 mm x 41 mm, excluding bracket.</t>
  </si>
  <si>
    <t>GT-000020</t>
  </si>
  <si>
    <t>operating_temperature_c</t>
  </si>
  <si>
    <t>0 °C to 40 °C</t>
  </si>
  <si>
    <t>°C</t>
  </si>
  <si>
    <t>0°C to 40°C (32°F to 104°F)</t>
  </si>
  <si>
    <t>Operating temperature: 0°C to 40°C (32°F to 104°F).</t>
  </si>
  <si>
    <t>GT-000021</t>
  </si>
  <si>
    <t>wan_interfaces</t>
  </si>
  <si>
    <t>1 × fixed GbE WAN + 1 × configurable GbE WAN/LAN</t>
  </si>
  <si>
    <t>Fixed WAN Port: 1; WAN/LAN Switchable Port: 1</t>
  </si>
  <si>
    <t>One fixed 10/100/1000Base-TX WAN port and one 10/100/1000Base-TX WAN 2 / LAN port 6.</t>
  </si>
  <si>
    <t>PDF 证据已定位；请人工复核标准化值和型号列。</t>
  </si>
  <si>
    <t>GT-000022</t>
  </si>
  <si>
    <t>lan_interfaces</t>
  </si>
  <si>
    <t>5 × fixed GbE LAN + 1 × configurable GbE WAN/LAN</t>
  </si>
  <si>
    <t>5 fixed LAN ports; WAN/LAN switchable port</t>
  </si>
  <si>
    <t>Five fixed 10/100/1000Base-TX LAN ports plus one WAN/LAN switchable port.</t>
  </si>
  <si>
    <t>GT-000023</t>
  </si>
  <si>
    <t>routing_throughput_mbps</t>
  </si>
  <si>
    <t>Unknown</t>
  </si>
  <si>
    <t>Not explicitly published</t>
  </si>
  <si>
    <t>未自动定位到明确 PDF 证据；该行必须人工复核，必要时改为 Not Published/Not Applicable。</t>
  </si>
  <si>
    <t>GT-000024</t>
  </si>
  <si>
    <t>nat_throughput_mbps</t>
  </si>
  <si>
    <t>GT-000025</t>
  </si>
  <si>
    <t>vpn_throughput_mbps</t>
  </si>
  <si>
    <t>GT-000026</t>
  </si>
  <si>
    <t>concurrent_sessions</t>
  </si>
  <si>
    <t>60k Sessions</t>
  </si>
  <si>
    <t>The feature summary states 60k Sessions.</t>
  </si>
  <si>
    <t>GT-000027</t>
  </si>
  <si>
    <t>vpn_protocols</t>
  </si>
  <si>
    <t>PPTP; L2TP; IPsec; L2TP over IPsec; SSL; GRE; IKEv2; OpenVPN; WireGuard</t>
  </si>
  <si>
    <t>PPTP, L2TP, IPsec, L2TP over IPsec, SSL, GRE, IKEv2, OpenVPN, Wireguard</t>
  </si>
  <si>
    <t>VPN protocols include PPTP, L2TP, IPsec, SSL, GRE, IKEv2, OpenVPN, and WireGuard.</t>
  </si>
  <si>
    <t>GT-000028</t>
  </si>
  <si>
    <t>vpn_tunnels</t>
  </si>
  <si>
    <t>50 VPN</t>
  </si>
  <si>
    <t>The feature summary states 50 VPN.</t>
  </si>
  <si>
    <t>GT-000029</t>
  </si>
  <si>
    <t>wan_load_balancing</t>
  </si>
  <si>
    <t>Dual-WAN load balancing and failover</t>
  </si>
  <si>
    <t>The router provides dual-WAN load balancing and failover.</t>
  </si>
  <si>
    <t>GT-000030</t>
  </si>
  <si>
    <t>sd_wan</t>
  </si>
  <si>
    <t>GT-000031</t>
  </si>
  <si>
    <t>firewall_features</t>
  </si>
  <si>
    <t>Firewall; content filtering; bandwidth management; route policy</t>
  </si>
  <si>
    <t>Firewall, content filtering, bandwidth management</t>
  </si>
  <si>
    <t>The product overview lists firewall, content filtering, bandwidth management, and route policy.</t>
  </si>
  <si>
    <t>GT-000032</t>
  </si>
  <si>
    <t>controller_management</t>
  </si>
  <si>
    <t>Vigor2927 Series is a dual-Ethernet WAN firewall router, providing load-balancing and failover for your business continuity. Featuring VPN, QoS, route policy, firewall, content filtering, bandwidth management, captive hotspot portal, and a lot more, this is the ultimate router that does it all for SMB. The series includes built-in 802.11ax Wi-Fi and VoIP gateway models. Bandwidth Management</t>
  </si>
  <si>
    <t>GT-000033</t>
  </si>
  <si>
    <t>GT-000034</t>
  </si>
  <si>
    <t>GT-000035</t>
  </si>
  <si>
    <t>GT-000036</t>
  </si>
  <si>
    <t>Up to 4 configurable WAN ports</t>
  </si>
  <si>
    <t>Up to 4 WANs</t>
  </si>
  <si>
    <t>Users can set four ports as WAN for load balancing/failover.</t>
  </si>
  <si>
    <t>GT-000037</t>
  </si>
  <si>
    <t>1 × 2.5GbE RJ45 + 2 × 1GbE RJ45 + 1 × GbE/SFP combo, configurable</t>
  </si>
  <si>
    <t>Configurable WAN/LAN ports</t>
  </si>
  <si>
    <t>The port selection includes one 2.5GbE port, two 1GbE ports, and one GbE/SFP combo port.</t>
  </si>
  <si>
    <t>GT-000038</t>
  </si>
  <si>
    <t>GT-000039</t>
  </si>
  <si>
    <t>2.2 Gbps NAT throughput</t>
  </si>
  <si>
    <t>The overview states overall 2.2 Gbps NAT throughput.</t>
  </si>
  <si>
    <t>GT-000040</t>
  </si>
  <si>
    <t>GT-000041</t>
  </si>
  <si>
    <t>GT-000042</t>
  </si>
  <si>
    <t>GT-000043</t>
  </si>
  <si>
    <t>200 VPN</t>
  </si>
  <si>
    <t>The feature summary states 200 VPN.</t>
  </si>
  <si>
    <t>GT-000044</t>
  </si>
  <si>
    <t>Load balancing/failover</t>
  </si>
  <si>
    <t>Up to four WAN ports are supported for load balancing/failover.</t>
  </si>
  <si>
    <t>GT-000045</t>
  </si>
  <si>
    <t>GT-000046</t>
  </si>
  <si>
    <t>GT-000047</t>
  </si>
  <si>
    <t>IGMP Proxy*, Bonjour(since f/w v3.9.4) LAN Management VLAN Max. Number of VLAN Number of LAN Subnet</t>
  </si>
  <si>
    <t>GT-000048</t>
  </si>
  <si>
    <t>GT-000049</t>
  </si>
  <si>
    <t>GT-000050</t>
  </si>
  <si>
    <t>GT-000051</t>
  </si>
  <si>
    <t>5 × 10/100/1000 Mbps RJ45</t>
  </si>
  <si>
    <t>5 10/100/1000Mbps ports</t>
  </si>
  <si>
    <t>GS305v3: 5 × 10/100/1000 Mbps ports.</t>
  </si>
  <si>
    <t>GT-000052</t>
  </si>
  <si>
    <t>uplink_interfaces</t>
  </si>
  <si>
    <t>No dedicated uplink/SFP port</t>
  </si>
  <si>
    <t>GT-000053</t>
  </si>
  <si>
    <t>switching_capacity_gbps</t>
  </si>
  <si>
    <t>Gbps</t>
  </si>
  <si>
    <t>10 Gbps non-blocking bandwidth</t>
  </si>
  <si>
    <t>GS305v3 bandwidth (non-blocking): 10 Gbps.</t>
  </si>
  <si>
    <t>GT-000054</t>
  </si>
  <si>
    <t>packet_forwarding_rate_mpps</t>
  </si>
  <si>
    <t>Mpps</t>
  </si>
  <si>
    <t>1,448,000 pps per 1000Mbps port</t>
  </si>
  <si>
    <t>Forwarding rate for a 1000 Mbps port using 64-byte packets: 1,448,000 pps.</t>
  </si>
  <si>
    <t>Per port</t>
  </si>
  <si>
    <t>GT-000055</t>
  </si>
  <si>
    <t>poe_standard</t>
  </si>
  <si>
    <t>No PoE</t>
  </si>
  <si>
    <t>GT-000056</t>
  </si>
  <si>
    <t>poe_ports</t>
  </si>
  <si>
    <t>GT-000057</t>
  </si>
  <si>
    <t>poe_budget_w</t>
  </si>
  <si>
    <t>GT-000058</t>
  </si>
  <si>
    <t>extend_mode</t>
  </si>
  <si>
    <t>No PoE extend mode</t>
  </si>
  <si>
    <t>GT-000059</t>
  </si>
  <si>
    <t>poe_auto_recovery</t>
  </si>
  <si>
    <t>No PoE auto recovery</t>
  </si>
  <si>
    <t>GT-000060</t>
  </si>
  <si>
    <t>port_isolation</t>
  </si>
  <si>
    <t>Unmanaged plug-and-play switch</t>
  </si>
  <si>
    <t>GT-000061</t>
  </si>
  <si>
    <t>loop_prevention</t>
  </si>
  <si>
    <t>No loop prevention feature published</t>
  </si>
  <si>
    <t>GT-000062</t>
  </si>
  <si>
    <t>fanless</t>
  </si>
  <si>
    <t>Fanless</t>
  </si>
  <si>
    <t>GS305v3 is fanless.</t>
  </si>
  <si>
    <t>GT-000063</t>
  </si>
  <si>
    <t>installation</t>
  </si>
  <si>
    <t>Desktop or wall-mountable</t>
  </si>
  <si>
    <t>GS305v3 form factor: desktop or wall-mountable.</t>
  </si>
  <si>
    <t>GT-000064</t>
  </si>
  <si>
    <t>2.15 W maximum</t>
  </si>
  <si>
    <t>GS305v3 maximum power consumption: 2.15 W.</t>
  </si>
  <si>
    <t>GT-000065</t>
  </si>
  <si>
    <t>101 × 94 × 29 mm</t>
  </si>
  <si>
    <t>GS305v3 dimensions: 101 × 94 × 29 mm.</t>
  </si>
  <si>
    <t>GT-000066</t>
  </si>
  <si>
    <t>0° to 40°C</t>
  </si>
  <si>
    <t>Operating temperature: 0 °C to 40 °C.</t>
  </si>
  <si>
    <t>GT-000067</t>
  </si>
  <si>
    <t>RouterOS-configurable: 7 × GbE + 1 × GbE/SFP combo + 1 × SFP+</t>
  </si>
  <si>
    <t>7 Ethernet; 1 Ethernet/SFP combo; 1 SFP+</t>
  </si>
  <si>
    <t>The hardware provides seven 10/100/1000 Ethernet ports, one Ethernet/SFP combo port, and one SFP+ port.</t>
  </si>
  <si>
    <t>GT-000068</t>
  </si>
  <si>
    <t>Ports are not fixed as WAN or LAN</t>
  </si>
  <si>
    <t>All Ethernet ports connect independently to the CPU and are configurable in RouterOS.</t>
  </si>
  <si>
    <t>GT-000069</t>
  </si>
  <si>
    <t>GT-000070</t>
  </si>
  <si>
    <t>GT-000071</t>
  </si>
  <si>
    <t>GT-000072</t>
  </si>
  <si>
    <t>GT-000073</t>
  </si>
  <si>
    <t>Not explicitly listed in this hardware datasheet</t>
  </si>
  <si>
    <t>GT-000074</t>
  </si>
  <si>
    <t>GT-000075</t>
  </si>
  <si>
    <t>GT-000076</t>
  </si>
  <si>
    <t>GT-000077</t>
  </si>
  <si>
    <t>GT-000078</t>
  </si>
  <si>
    <t>GT-000079</t>
  </si>
  <si>
    <t>34 W</t>
  </si>
  <si>
    <t>Maximum power consumption: 34 W.</t>
  </si>
  <si>
    <t>GT-000080</t>
  </si>
  <si>
    <t>443 × 175 × 44 mm</t>
  </si>
  <si>
    <t>Dimensions: 443 × 175 × 44 mm.</t>
  </si>
  <si>
    <t>GT-000081</t>
  </si>
  <si>
    <t>GT-000082</t>
  </si>
  <si>
    <t>accessory_interface_type</t>
  </si>
  <si>
    <t>100GBASE-SR4 QSFP optical transceiver</t>
  </si>
  <si>
    <t>100GBASE SR4 QSFP Transceiver</t>
  </si>
  <si>
    <t>QSFP-100G-SR4-S is a 100GBASE SR4 QSFP transceiver.</t>
  </si>
  <si>
    <t>GT-000083</t>
  </si>
  <si>
    <t>accessory_connector_type</t>
  </si>
  <si>
    <t>MPO-12</t>
  </si>
  <si>
    <t>MPO-12 (12 fibers)</t>
  </si>
  <si>
    <t>Connector type: MPO-12 (12 fibers).</t>
  </si>
  <si>
    <t>GT-000084</t>
  </si>
  <si>
    <t>accessory_data_rate_gbps</t>
  </si>
  <si>
    <t>100GBASE</t>
  </si>
  <si>
    <t>The module provides a 100 Gigabit Ethernet optical link.</t>
  </si>
  <si>
    <t>GT-000085</t>
  </si>
  <si>
    <t>accessory_wavelength_nm</t>
  </si>
  <si>
    <t>nm</t>
  </si>
  <si>
    <t>850 nm</t>
  </si>
  <si>
    <t>QSFP-100G-SR4-S wavelength: 850 nm.</t>
  </si>
  <si>
    <t>GT-000086</t>
  </si>
  <si>
    <t>accessory_fiber_mode</t>
  </si>
  <si>
    <t>Multimode fiber (OM3/OM4/OM5)</t>
  </si>
  <si>
    <t>MMF; OM3/OM4/OM5</t>
  </si>
  <si>
    <t>The table identifies MMF and OM3/OM4/OM5 cabling.</t>
  </si>
  <si>
    <t>GT-000087</t>
  </si>
  <si>
    <t>accessory_max_distance_km</t>
  </si>
  <si>
    <t>km</t>
  </si>
  <si>
    <t>100 m over OM4/OM5</t>
  </si>
  <si>
    <t>Maximum listed reach is 100 m over OM4 or OM5 multimode fiber.</t>
  </si>
  <si>
    <t>GT-000088</t>
  </si>
  <si>
    <t>accessory_compatibility</t>
  </si>
  <si>
    <t>GT-000089</t>
  </si>
  <si>
    <t>13.5 × 18.4 × 72.4 mm</t>
  </si>
  <si>
    <t>H × W × D: 13.5 × 18.4 × 72.4 mm</t>
  </si>
  <si>
    <t>Maximum QSFP module dimensions: 13.5 × 18.4 × 72.4 mm.</t>
  </si>
  <si>
    <t>GT-000090</t>
  </si>
  <si>
    <t>GT-000091</t>
  </si>
  <si>
    <t>8 × 10/100 Mbps PoE RJ45</t>
  </si>
  <si>
    <t>8 PoE ports with 10/100 Mbps Base-TX</t>
  </si>
  <si>
    <t>Eight 10/100 Mbps Base-TX PoE ports.</t>
  </si>
  <si>
    <t>GT-000092</t>
  </si>
  <si>
    <t>2 × 10/100 Mbps RJ45 uplink</t>
  </si>
  <si>
    <t>2 uplink ports with 10/100 Mbps Base-TX</t>
  </si>
  <si>
    <t>Two 10/100 Mbps Base-TX uplink ports.</t>
  </si>
  <si>
    <t>GT-000093</t>
  </si>
  <si>
    <t>2.0 Gbps</t>
  </si>
  <si>
    <t>Switching Capacity: 2.0 Gbps.</t>
  </si>
  <si>
    <t>GT-000094</t>
  </si>
  <si>
    <t>1.49 Mpps</t>
  </si>
  <si>
    <t>Packet Forwarding Rate: 1.49 Mpps.</t>
  </si>
  <si>
    <t>GT-000095</t>
  </si>
  <si>
    <t>IEEE 802.3af; IEEE 802.3at</t>
  </si>
  <si>
    <t>IEEE802.3af, IEEE802.3at</t>
  </si>
  <si>
    <t>PoE Standard: IEEE 802.3af and IEEE 802.3at.</t>
  </si>
  <si>
    <t>GT-000096</t>
  </si>
  <si>
    <t>8 PoE ports</t>
  </si>
  <si>
    <t>The switch has eight PoE ports.</t>
  </si>
  <si>
    <t>GT-000097</t>
  </si>
  <si>
    <t>Whole PoE budget ≤ 65 W</t>
  </si>
  <si>
    <t>Whole PoE budget is up to 65 W.</t>
  </si>
  <si>
    <t>GT-000098</t>
  </si>
  <si>
    <t>250 m long-distance PoE transmission</t>
  </si>
  <si>
    <t>The switch supports 250 m long-distance PoE transmission.</t>
  </si>
  <si>
    <t>GT-000099</t>
  </si>
  <si>
    <t>PoE watchdog</t>
  </si>
  <si>
    <t>PoE watchdog automatically restarts unresponsive powered devices.</t>
  </si>
  <si>
    <t>GT-000100</t>
  </si>
  <si>
    <t>GT-000101</t>
  </si>
  <si>
    <t>GT-000102</t>
  </si>
  <si>
    <t>GT-000103</t>
  </si>
  <si>
    <t>GT-000104</t>
  </si>
  <si>
    <t>Full load: 65 W</t>
  </si>
  <si>
    <t>Full-load power consumption: 65 W.</t>
  </si>
  <si>
    <t>GT-000105</t>
  </si>
  <si>
    <t>242.5 × 122.9 × 35.0 mm</t>
  </si>
  <si>
    <t>Product dimensions: 242.5 × 122.9 × 35.0 mm.</t>
  </si>
  <si>
    <t>GT-000106</t>
  </si>
  <si>
    <t>-10 °C to 55 °C</t>
  </si>
  <si>
    <t>-10 °C to +55 °C</t>
  </si>
  <si>
    <t>Operating temperature: -10 °C to +55 °C.</t>
  </si>
  <si>
    <t>GT-000107</t>
  </si>
  <si>
    <t>10/100/1000BASE-T to SFP media converter</t>
  </si>
  <si>
    <t>10/100/1000Base-T to SFP</t>
  </si>
  <si>
    <t>The DMC-G01LC converts 10/100/1000BASE-T Ethernet to SFP fiber.</t>
  </si>
  <si>
    <t>GT-000108</t>
  </si>
  <si>
    <t>1 × RJ45; 1 × SFP cage</t>
  </si>
  <si>
    <t>RJ45 to SFP</t>
  </si>
  <si>
    <t>The product provides one copper Ethernet port and an SFP slot.</t>
  </si>
  <si>
    <t>GT-000109</t>
  </si>
  <si>
    <t>1000 Mbps full duplex</t>
  </si>
  <si>
    <t>The converter supports 1000 Mbps full-duplex operation.</t>
  </si>
  <si>
    <t>GT-000110</t>
  </si>
  <si>
    <t>Depends on installed SFP: single-mode or multimode</t>
  </si>
  <si>
    <t>SFP-dependent</t>
  </si>
  <si>
    <t>Optional SFPs include single-mode and multimode transceivers.</t>
  </si>
  <si>
    <t>GT-000111</t>
  </si>
  <si>
    <t>Up to 10 km with DEM-310GT</t>
  </si>
  <si>
    <t>The optional DEM-310GT provides single-mode transmission up to 10 km.</t>
  </si>
  <si>
    <t>GT-000112</t>
  </si>
  <si>
    <t>accessory_input_power</t>
  </si>
  <si>
    <t>5 V DC / 1 A</t>
  </si>
  <si>
    <t>5V/1A external power adapter</t>
  </si>
  <si>
    <t>External power adapter: 5 V / 1 A.</t>
  </si>
  <si>
    <t>GT-000113</t>
  </si>
  <si>
    <t>Standard SFP transceivers; examples DEM-211/310GT/311GT/312GT2</t>
  </si>
  <si>
    <t>Wide array of SFP modules</t>
  </si>
  <si>
    <t>The datasheet lists optional D-Link SFP transceivers.</t>
  </si>
  <si>
    <t>GT-000114</t>
  </si>
  <si>
    <t>75 × 60 × 23 mm</t>
  </si>
  <si>
    <t>The compact enclosure measures 75 × 60 × 23 mm.</t>
  </si>
  <si>
    <t>GT-000115</t>
  </si>
  <si>
    <t>0 °C to 50 °C</t>
  </si>
  <si>
    <t>0 to 50 °C</t>
  </si>
  <si>
    <t>Operation Temperature: 0 °C to 50 °C.</t>
  </si>
  <si>
    <t>GT-000116</t>
  </si>
  <si>
    <t>4 × 10/100/1000 Mbps PoE RJ45</t>
  </si>
  <si>
    <t>4 × Gigabit PoE port</t>
  </si>
  <si>
    <t>The switch provides four Gigabit PoE ports.</t>
  </si>
  <si>
    <t>GT-000117</t>
  </si>
  <si>
    <t>1 × 10/100/1000 Mbps RJ45</t>
  </si>
  <si>
    <t>1 × Gigabit RJ45 port</t>
  </si>
  <si>
    <t>The switch provides one additional Gigabit RJ45 port.</t>
  </si>
  <si>
    <t>GT-000118</t>
  </si>
  <si>
    <t>10 Gbps</t>
  </si>
  <si>
    <t>Switching Capacity: 10 Gbps.</t>
  </si>
  <si>
    <t>GT-000119</t>
  </si>
  <si>
    <t>7.44 Mpps</t>
  </si>
  <si>
    <t>Packet Forwarding Rate: 7.44 Mpps.</t>
  </si>
  <si>
    <t>GT-000120</t>
  </si>
  <si>
    <t>IEEE 802.3af, IEEE 802.3at</t>
  </si>
  <si>
    <t>PoE standard: IEEE 802.3af and IEEE 802.3at.</t>
  </si>
  <si>
    <t>GT-000121</t>
  </si>
  <si>
    <t>Ports 1 to 4</t>
  </si>
  <si>
    <t>PoE ports: ports 1 to 4.</t>
  </si>
  <si>
    <t>GT-000122</t>
  </si>
  <si>
    <t>45 W</t>
  </si>
  <si>
    <t>PoE Power Budget: 45 W.</t>
  </si>
  <si>
    <t>GT-000123</t>
  </si>
  <si>
    <t>mac_address_table</t>
  </si>
  <si>
    <t>2K</t>
  </si>
  <si>
    <t>2 K</t>
  </si>
  <si>
    <t>MAC Address Table: 2K.</t>
  </si>
  <si>
    <t>GT-000124</t>
  </si>
  <si>
    <t>vlan_count</t>
  </si>
  <si>
    <t>GT-000125</t>
  </si>
  <si>
    <t>l2_features</t>
  </si>
  <si>
    <t> Total PoE Power Budget 45 W  Support 802.1Q VLAN  Support PoE watchdog to detect and restart the cameras that do not respond  Support STP/RSTP loop prevention  Support cable detection to locate failure</t>
  </si>
  <si>
    <t>GT-000126</t>
  </si>
  <si>
    <t>stp_features</t>
  </si>
  <si>
    <t>STP; RSTP</t>
  </si>
  <si>
    <t>STP/RSTP loop prevention</t>
  </si>
  <si>
    <t>The switch supports STP/RSTP loop prevention.</t>
  </si>
  <si>
    <t>GT-000127</t>
  </si>
  <si>
    <t>acl_security</t>
  </si>
  <si>
    <t>GT-000128</t>
  </si>
  <si>
    <t>management_methods</t>
  </si>
  <si>
    <t>Hik-Partner Pro; Hik-Central Professional</t>
  </si>
  <si>
    <t>Software platform management</t>
  </si>
  <si>
    <t>The smart switch supports remote deployment, monitoring, and maintenance through Hikvision software platforms.</t>
  </si>
  <si>
    <t>GT-000129</t>
  </si>
  <si>
    <t>GT-000130</t>
  </si>
  <si>
    <t>Installation Mode Desk-Mounted,Wall-Mounted Max. Power Consumption 50 W Power Consumption in Idle 1 W Surge Protection 6 kV Approval</t>
  </si>
  <si>
    <t>GT-000131</t>
  </si>
  <si>
    <t>Gross Weight 0.75 kg (1.65 lb) Dimensions (W × H × D) 121.1 mm × 27.6 mm × 83.1 mm (4.77'' × 1.09'' × 3.27'') Operating Temperature 0 ° C to 40 ° C (32 ° F to 104 ° F) Storage Temperature -40 ° C to 85 ° C (-40 ° F to 185 ° F) Operating Humidity 5% to 95% (no condensation)</t>
  </si>
  <si>
    <t>GT-000132</t>
  </si>
  <si>
    <t>Dimensions (W × H × D) 121.1 mm × 27.6 mm × 83.1 mm (4.77'' × 1.09'' × 3.27'') Operating Temperature 0 ° C to 40 ° C (32 ° F to 104 ° F) Storage Temperature -40 ° C to 85 ° C (-40 ° F to 185 ° F) Operating Humidity 5% to 95% (no condensation) Relative Humidity 5% to 95% (no condensation)</t>
  </si>
  <si>
    <t>GT-000133</t>
  </si>
  <si>
    <t>5GHz</t>
  </si>
  <si>
    <t>5GHz 867Mbps 5KM Wireless Bridge.</t>
  </si>
  <si>
    <t>GT-000134</t>
  </si>
  <si>
    <t>≤ 867 Mbps</t>
  </si>
  <si>
    <t>Max. Transmission Rate of Air Interface ≤ 867 Mbps.</t>
  </si>
  <si>
    <t>GT-000135</t>
  </si>
  <si>
    <t>20/40/80 MHz</t>
  </si>
  <si>
    <t>Channel Width: 20/40/80 MHz.</t>
  </si>
  <si>
    <t>GT-000136</t>
  </si>
  <si>
    <t>2 × 10/100/1000 Mbps RJ45</t>
  </si>
  <si>
    <t>2 × 1000 Mbps RJ45 ports</t>
  </si>
  <si>
    <t>Network Interface: 2 × 1000 Mbps RJ45 ports.</t>
  </si>
  <si>
    <t>GT-000137</t>
  </si>
  <si>
    <t>12 VDC/1 A Passive PoE</t>
  </si>
  <si>
    <t>Power Supply: 12 VDC/1 A Passive PoE.</t>
  </si>
  <si>
    <t>GT-000138</t>
  </si>
  <si>
    <t>wireless_range</t>
  </si>
  <si>
    <t>Up to 5 km</t>
  </si>
  <si>
    <t>Up to 5 km wireless transmission distance</t>
  </si>
  <si>
    <t>Up to 5 km wireless transmission distance.</t>
  </si>
  <si>
    <t>GT-000139</t>
  </si>
  <si>
    <t>12 dBi</t>
  </si>
  <si>
    <t>Antenna Gain: 12 dBi.</t>
  </si>
  <si>
    <t>GT-000140</t>
  </si>
  <si>
    <t>ip_rating</t>
  </si>
  <si>
    <t>IP55</t>
  </si>
  <si>
    <t>Ingress Protection: IP55.</t>
  </si>
  <si>
    <t>GT-000141</t>
  </si>
  <si>
    <t>Max. 4.5 W</t>
  </si>
  <si>
    <t>Power Consumption: 2.65 W typical; Max. 4.5 W.</t>
  </si>
  <si>
    <t>GT-000142</t>
  </si>
  <si>
    <t>90.8 × 187.87 × 57.87 mm</t>
  </si>
  <si>
    <t>90.8 mm × 187.87 mm × 57.87 mm</t>
  </si>
  <si>
    <t>Product Dimensions (W × H × D): 90.8 mm × 187.87 mm × 57.87 mm.</t>
  </si>
  <si>
    <t>GT-000143</t>
  </si>
  <si>
    <t>-30 °C to 70 °C</t>
  </si>
  <si>
    <t>Working Temperature: -30 °C to 70 °C.</t>
  </si>
  <si>
    <t>GT-000144</t>
  </si>
  <si>
    <t>8 × 10/100/1000BASE-T</t>
  </si>
  <si>
    <t>8 × Gigabit ports</t>
  </si>
  <si>
    <t>8 × Gigabit ports.</t>
  </si>
  <si>
    <t>GT-000145</t>
  </si>
  <si>
    <t>2 × Gigabit SFP</t>
  </si>
  <si>
    <t>2 × Gigabit SFP Slots</t>
  </si>
  <si>
    <t>2 × Gigabit SFP Slots.</t>
  </si>
  <si>
    <t>GT-000146</t>
  </si>
  <si>
    <t>20 Gbps</t>
  </si>
  <si>
    <t>Switch fabric: 20 Gbps.</t>
  </si>
  <si>
    <t>GT-000147</t>
  </si>
  <si>
    <t>14.9 Mpps</t>
  </si>
  <si>
    <t>Forwarding rate: 14.9 Mpps (64-byte packet size).</t>
  </si>
  <si>
    <t>GT-000148</t>
  </si>
  <si>
    <t>No PoE capability stated</t>
  </si>
  <si>
    <t>GT-000149</t>
  </si>
  <si>
    <t>GT-000150</t>
  </si>
  <si>
    <t>GT-000151</t>
  </si>
  <si>
    <t>8K entries</t>
  </si>
  <si>
    <t>MAC Address Table: 8K entries.</t>
  </si>
  <si>
    <t>GT-000152</t>
  </si>
  <si>
    <t>Up to 256 VLAN groups</t>
  </si>
  <si>
    <t>Up to 256 VLAN groups, ID Range 1-4094.</t>
  </si>
  <si>
    <t>GT-000153</t>
  </si>
  <si>
    <t>LACP; VLAN; QoS; IGMP/MLD snooping; port mirroring</t>
  </si>
  <si>
    <t>LACP, VLAN, QoS, IGMP/MLD Snooping</t>
  </si>
  <si>
    <t>Supports IPv6, LACP, VLAN, QoS, and IGMP/MLD Snooping.</t>
  </si>
  <si>
    <t>GT-000154</t>
  </si>
  <si>
    <t>l3_features</t>
  </si>
  <si>
    <t>IPv4/IPv6 static routing; inter-VLAN routing</t>
  </si>
  <si>
    <t>IPv4 / IPv6 static routing; Inter-VLAN routing</t>
  </si>
  <si>
    <t>Layer 3 Features: IPv4 / IPv6 static routing; Inter-VLAN routing.</t>
  </si>
  <si>
    <t>GT-000155</t>
  </si>
  <si>
    <t>ip_interface_capacity</t>
  </si>
  <si>
    <t>Up to 6</t>
  </si>
  <si>
    <t>IP interfaces: Up to 6</t>
  </si>
  <si>
    <t>IP interfaces: Up to 6.</t>
  </si>
  <si>
    <t>GT-000156</t>
  </si>
  <si>
    <t>routing_entry_capacity</t>
  </si>
  <si>
    <t>Up to 32 IPv4/IPv6</t>
  </si>
  <si>
    <t>Routing table entries: Up to 32</t>
  </si>
  <si>
    <t>Routing table entries: Up to 32 (IPv4 / IPv6).</t>
  </si>
  <si>
    <t>GT-000157</t>
  </si>
  <si>
    <t>STP; RSTP; MSTP</t>
  </si>
  <si>
    <t>IEEE 802.1D STP; 802.1w RSTP; 802.1s MSTP</t>
  </si>
  <si>
    <t>Spanning Tree: IEEE 802.1D STP, IEEE 802.1w RSTP, IEEE 802.1s MSTP.</t>
  </si>
  <si>
    <t>GT-000158</t>
  </si>
  <si>
    <t>dhcp_features</t>
  </si>
  <si>
    <t>DHCP relay; option 82; DHCP snooping</t>
  </si>
  <si>
    <t>DHCP relay/option 82; DHCP Snooping</t>
  </si>
  <si>
    <t>Management includes DHCP relay/option 82; access control includes DHCP Snooping.</t>
  </si>
  <si>
    <t>GT-000159</t>
  </si>
  <si>
    <t>IPv4 L2-L4 and IPv6 ACL; 802.1X; RADIUS; TACACS+</t>
  </si>
  <si>
    <t>ACL IPv4 L2-L4 &amp; IPv6</t>
  </si>
  <si>
    <t>ACL IPv4 L2-L4 &amp; IPv6; 802.1X, RADIUS, and TACACS+ are supported.</t>
  </si>
  <si>
    <t>GT-000160</t>
  </si>
  <si>
    <t>CLI; HTTP/HTTPS; SNMP; RMON; TRENDnet Hive cloud</t>
  </si>
  <si>
    <t>CLI, Web GUI, SNMP, RMON, Hive Cloud</t>
  </si>
  <si>
    <t>Management: CLI, HTTP/HTTPS Web GUI, SNMP v1/v2c/v3, RMON, and Hive Cloud Management.</t>
  </si>
  <si>
    <t>GT-000161</t>
  </si>
  <si>
    <t>7.1 Watts (max.)</t>
  </si>
  <si>
    <t>Power consumption: 7.1 Watts (max.).</t>
  </si>
  <si>
    <t>GT-000162</t>
  </si>
  <si>
    <t>280 × 125.8 × 44 mm</t>
  </si>
  <si>
    <t>Dimensions: 280 × 125.8 × 44 mm.</t>
  </si>
  <si>
    <t>GT-000163</t>
  </si>
  <si>
    <t>-5 °C to 50 °C</t>
  </si>
  <si>
    <t>Operating Temperature: -5 °C to 50 °C.</t>
  </si>
  <si>
    <t>GT-000164</t>
  </si>
  <si>
    <t>32 × QSFP28</t>
  </si>
  <si>
    <t>QSFP28 port: 32</t>
  </si>
  <si>
    <t>For S6550X-32H-HI, the technical specifications list 32 QSFP28 ports.</t>
  </si>
  <si>
    <t>GT-000165</t>
  </si>
  <si>
    <t>1 × expansion slot</t>
  </si>
  <si>
    <t>Expansion slot: 1</t>
  </si>
  <si>
    <t>The S6550X-32H-HI provides one expansion slot.</t>
  </si>
  <si>
    <t>GT-000166</t>
  </si>
  <si>
    <t>Not published in this hardware specification</t>
  </si>
  <si>
    <t>GT-000167</t>
  </si>
  <si>
    <t>GT-000168</t>
  </si>
  <si>
    <t>No PoE ports</t>
  </si>
  <si>
    <t>GT-000169</t>
  </si>
  <si>
    <t>GT-000170</t>
  </si>
  <si>
    <t>GT-000171</t>
  </si>
  <si>
    <t>For more information about FEC negotiation, see Ethernet interfaces in H3C S6550X-HI Switch Series Layer 2–LAN Switching Configuration Guide. Table4-6 25G SFP28 copper cables available for the SFP28 ports 25G SFP28 copper cable Max transmission distance SFP-25G-D-CAB-1M 1 m (3.28 ft)</t>
  </si>
  <si>
    <t>GT-000172</t>
  </si>
  <si>
    <t>GT-000173</t>
  </si>
  <si>
    <t>GT-000174</t>
  </si>
  <si>
    <t>GT-000175</t>
  </si>
  <si>
    <t>ospf_support</t>
  </si>
  <si>
    <t>GT-000176</t>
  </si>
  <si>
    <t>rip_support</t>
  </si>
  <si>
    <t>Symbols Convention Description WARNING! An alert that calls attention to important information that if not understood or followed can result in personal injury.</t>
  </si>
  <si>
    <t>GT-000177</t>
  </si>
  <si>
    <t>pbr_support</t>
  </si>
  <si>
    <t>GT-000178</t>
  </si>
  <si>
    <t>vrrp_support</t>
  </si>
  <si>
    <t>GT-000179</t>
  </si>
  <si>
    <t>multicast_routing</t>
  </si>
  <si>
    <t>GT-000180</t>
  </si>
  <si>
    <t>stacking</t>
  </si>
  <si>
    <t>GT-000181</t>
  </si>
  <si>
    <t>stacking_bandwidth_gbps</t>
  </si>
  <si>
    <t>GT-000182</t>
  </si>
  <si>
    <t>Boldface Window names, button names, field names, and menu items are in Boldface. For example, the New User window opens; click OK. &gt; Multi-level menus are separated by angle brackets. For example, File &gt; Create &gt; Folder. Examples provided in this document</t>
  </si>
  <si>
    <t>GT-000183</t>
  </si>
  <si>
    <t>Input voltage 12 V Maximum power consumption 27.72 W Documentation reference H3C FAN-40F-1-A &amp; FAN-40B-1-A Fan Trays User Guide • LSWM1FANSCBE-</t>
  </si>
  <si>
    <t>GT-000184</t>
  </si>
  <si>
    <t>44 × 440 × 400 mm</t>
  </si>
  <si>
    <t>44.0 × 440 × 400 mm</t>
  </si>
  <si>
    <t>S6550X-32H-HI dimensions: 44.0 × 440 × 400 mm.</t>
  </si>
  <si>
    <t>GT-000185</t>
  </si>
  <si>
    <t>GT-000186</t>
  </si>
  <si>
    <t>SFP+ to SFP+ direct attach copper cable</t>
  </si>
  <si>
    <t>10G SFP+ to SFP+ Direct Attach Copper Cable</t>
  </si>
  <si>
    <t>The product is an HPE Aruba Networking 10G SFP+ to SFP+ direct attach copper cable.</t>
  </si>
  <si>
    <t>GT-000187</t>
  </si>
  <si>
    <t>10G</t>
  </si>
  <si>
    <t>The product name specifies 10G.</t>
  </si>
  <si>
    <t>GT-000188</t>
  </si>
  <si>
    <t>accessory_cable_length_m</t>
  </si>
  <si>
    <t>m</t>
  </si>
  <si>
    <t>3m</t>
  </si>
  <si>
    <t>The product name specifies a 3 m cable length.</t>
  </si>
  <si>
    <t>GT-000189</t>
  </si>
  <si>
    <t>GT-000190</t>
  </si>
  <si>
    <t>GT-000191</t>
  </si>
  <si>
    <t>GT-000192</t>
  </si>
  <si>
    <t>24 × 10/100BASE-TX</t>
  </si>
  <si>
    <t>24 Fast Ethernet ports</t>
  </si>
  <si>
    <t>The Aruba 2530 24 Switch provides 24 Fast Ethernet access ports.</t>
  </si>
  <si>
    <t>GT-000193</t>
  </si>
  <si>
    <t>2 × dual-personality 10/100/1000 or SFP</t>
  </si>
  <si>
    <t>2 dual-personality ports</t>
  </si>
  <si>
    <t>The non-PoE 24-port model includes two dual-personality Gigabit/SFP uplink ports.</t>
  </si>
  <si>
    <t>GT-000194</t>
  </si>
  <si>
    <t>12.8 Gbps</t>
  </si>
  <si>
    <t>Switching capacity: 12.8 Gbps.</t>
  </si>
  <si>
    <t>GT-000195</t>
  </si>
  <si>
    <t>Up to 9.5 Mpps</t>
  </si>
  <si>
    <t>Throughput: up to 9.5 Mpps using 64-byte packets.</t>
  </si>
  <si>
    <t>GT-000196</t>
  </si>
  <si>
    <t>Non-PoE model</t>
  </si>
  <si>
    <t>GT-000197</t>
  </si>
  <si>
    <t>GT-000198</t>
  </si>
  <si>
    <t>GT-000199</t>
  </si>
  <si>
    <t>16K entries</t>
  </si>
  <si>
    <t>16000 entries</t>
  </si>
  <si>
    <t>MAC address table size: 16000 entries.</t>
  </si>
  <si>
    <t>GT-000200</t>
  </si>
  <si>
    <t>512 VLANs</t>
  </si>
  <si>
    <t>The series supports 512 VLANs and 4094 VLAN IDs.</t>
  </si>
  <si>
    <t>GT-000201</t>
  </si>
  <si>
    <t>VLAN; LACP; LLDP/LLDP-MED; IGMP snooping; QoS</t>
  </si>
  <si>
    <t>Layer 2 switching features</t>
  </si>
  <si>
    <t>The series supports VLANs, link aggregation, LLDP/LLDP-MED, IGMP snooping, and QoS.</t>
  </si>
  <si>
    <t>GT-000202</t>
  </si>
  <si>
    <t>STP; RSTP; MSTP; RPVST+</t>
  </si>
  <si>
    <t>STP/RSTP/MSTP/RPVST+</t>
  </si>
  <si>
    <t>Spanning-tree support includes RPVST+ and multiple spanning tree.</t>
  </si>
  <si>
    <t>GT-000203</t>
  </si>
  <si>
    <t>√</t>
  </si>
  <si>
    <t>Security • Access control lists (ACLs) accommodate IPv4/IPv6 port and VLAN-based ACLs (IPv6 ACL is supported only on Gigabit Ethernet and 48-port models.) • Source-port filtering</t>
  </si>
  <si>
    <t>GT-000204</t>
  </si>
  <si>
    <t>Web GUI; CLI; SNMP; Aruba AirWave; Aruba Central</t>
  </si>
  <si>
    <t>Aruba AirWave / Aruba Central</t>
  </si>
  <si>
    <t>The series supports management through Aruba AirWave and Aruba Central.</t>
  </si>
  <si>
    <t>GT-000205</t>
  </si>
  <si>
    <t>These fully managed switches deliver Layer 2 capabilities with enhanced access security, traffic prioritization, sFlow, and IPv6 host support. Right size deployment is available with a range of Gigabit and Fast Ethernet models including compact and fanless models which are ideal for use in quiet work spaces. PoE+ models deliver up 370W to power access points, IP phones and cameras. The Aruba 2530 Switch Series is eas</t>
  </si>
  <si>
    <t>GT-000206</t>
  </si>
  <si>
    <t>– IEEE 802.3az reduces power consumption during periods of low data activity on Gigabit Ethernet switches – Port low power mode enables the port to automatically go into low-power mode to conserve energy when no link is detected – Fanless and variable-speed fans</t>
  </si>
  <si>
    <t>GT-000207</t>
  </si>
  <si>
    <t>• Compact size reduces space requirements (refer to the product specifications for the exact dimensions)</t>
  </si>
  <si>
    <t>GT-000208</t>
  </si>
  <si>
    <t>Weight: 0.06 lb. (0.03 kg) Environment Operating temperature: 32ºF to 158ºF (0ºC to 70ºC) Operating relative humidity: 5% to 95% Non-operating/Storage temperature: -40ºF to 185ºF (-40ºC to 85ºC) Non-operating/Storage relative humidity: 5% to 85%</t>
  </si>
  <si>
    <t>GT-000209</t>
  </si>
  <si>
    <t>24 × 10/100/1000BASE-T</t>
  </si>
  <si>
    <t>24 × 10/100/1000BASE-T ports</t>
  </si>
  <si>
    <t>S310-24T4X fixed access ports: 24 × 10/100/1000BASE-T.</t>
  </si>
  <si>
    <t>GT-000210</t>
  </si>
  <si>
    <t>4 × 10GE SFP+</t>
  </si>
  <si>
    <t>4 × 10GE SFP+ ports</t>
  </si>
  <si>
    <t>S310-24T4X uplinks: four 10GE SFP+ ports.</t>
  </si>
  <si>
    <t>GT-000211</t>
  </si>
  <si>
    <t>128 Gbps</t>
  </si>
  <si>
    <t>S310-24T4X switching capacity: 128 Gbps.</t>
  </si>
  <si>
    <t>GT-000212</t>
  </si>
  <si>
    <t>96 Mpps</t>
  </si>
  <si>
    <t>S310-24T4X packet forwarding rate: 96 Mpps.</t>
  </si>
  <si>
    <t>GT-000213</t>
  </si>
  <si>
    <t>GT-000214</t>
  </si>
  <si>
    <t>GT-000215</t>
  </si>
  <si>
    <t>GT-000216</t>
  </si>
  <si>
    <t> eKitEngine S310 series switches support multiple security authentication modes including MAC address authentication and 802.1X authentication, and dynamically deliver user policies (VLAN, QoS, and ACL). eKitEngine S310 series switches support port-based 802.1X authentication, MAC address authentication, and multi-mode authentication.  eKitEngine S310 series switches provide a series of mechanisms to defend against</t>
  </si>
  <si>
    <t>GT-000217</t>
  </si>
  <si>
    <t>Static routing; PBR; OSPFv2/v3</t>
  </si>
  <si>
    <t>Static routing, PBR, OSPFv2/v3</t>
  </si>
  <si>
    <t>IP routing includes static routing, policy-based routing, OSPFv2, and OSPFv3.</t>
  </si>
  <si>
    <t>GT-000218</t>
  </si>
  <si>
    <t>GT-000219</t>
  </si>
  <si>
    <t>GT-000220</t>
  </si>
  <si>
    <t>OSPFv2 / OSPFv3</t>
  </si>
  <si>
    <t>OSPFv2 and OSPFv3 are supported.</t>
  </si>
  <si>
    <t>GT-000221</t>
  </si>
  <si>
    <t>Service Features Feature Description MAC address table Automatic MAC address learning and aging 32K MAC address entries at maximum Static, dynamic, and blackhole MAC address entries</t>
  </si>
  <si>
    <t>GT-000222</t>
  </si>
  <si>
    <t>Policy-based routing</t>
  </si>
  <si>
    <t>Policy-based routing is supported.</t>
  </si>
  <si>
    <t>GT-000223</t>
  </si>
  <si>
    <t>VRRP</t>
  </si>
  <si>
    <t>Virtual Router Redundancy Protocol is supported.</t>
  </si>
  <si>
    <t>GT-000224</t>
  </si>
  <si>
    <t>GT-000225</t>
  </si>
  <si>
    <t>Huawei iStack</t>
  </si>
  <si>
    <t>Intelligent Stack (iStack)</t>
  </si>
  <si>
    <t>The S310 series supports Huawei iStack.</t>
  </si>
  <si>
    <t>GT-000226</t>
  </si>
  <si>
    <t>GT-000227</t>
  </si>
  <si>
    <t>Easy Operations and Maintenance  eKitEngine S310 series switches can be managed and maintained using SNMPv1, SNMPv2c, SNMPv3, CLI, web system, or SSHv2.0. Additionally, they support remote network monitoring (RMON), multiple log hosts, port traffic statistics collection, and network quality analysis, facilitating network optimization and reconstruction.  eKitEngine S310 series switches support the MUX VLAN function</t>
  </si>
  <si>
    <t>GT-000228</t>
  </si>
  <si>
    <t>35.04 W</t>
  </si>
  <si>
    <t>S310-24T4X maximum power consumption: 35.04 W.</t>
  </si>
  <si>
    <t>GT-000229</t>
  </si>
  <si>
    <t>43.6 × 442 × 220 mm</t>
  </si>
  <si>
    <t>Chassis dimensions: 43.6 × 442 × 220 mm.</t>
  </si>
  <si>
    <t>GT-000230</t>
  </si>
  <si>
    <t>–5°C to +50°C (0 m to 1800m) When the altitude ranges between 1800 m and 5000 m, the operating temperature reduces by 1°C each time the altitude increases by 220 m. Storage temperature –40°C to +70°C Relative humidity 5% to 95% (non-condensing) Heat dissipation mode Air cooling, intelligent fan speed adjustment</t>
  </si>
  <si>
    <t>GT-000231</t>
  </si>
  <si>
    <t>24 × 10/100/1000BASE-T RJ45</t>
  </si>
  <si>
    <t>MS250-24-HW provides 24 Gigabit Ethernet RJ45 ports.</t>
  </si>
  <si>
    <t>GT-000232</t>
  </si>
  <si>
    <t>4 × 10G SFP+ + 2 × stacking ports</t>
  </si>
  <si>
    <t>4 × SFP+ 10G uplink; 2 × stacking ports</t>
  </si>
  <si>
    <t>MS250-24-HW includes four 10G SFP+ uplinks and two stacking ports.</t>
  </si>
  <si>
    <t>GT-000233</t>
  </si>
  <si>
    <t>MS250-24-HW switching capacity: 128 Gbps.</t>
  </si>
  <si>
    <t>GT-000234</t>
  </si>
  <si>
    <t>95.24 Mpps</t>
  </si>
  <si>
    <t>Forwarding rate for 24-port models: 95.24 Mpps.</t>
  </si>
  <si>
    <t>GT-000235</t>
  </si>
  <si>
    <t>MS250-24-HW is non-PoE</t>
  </si>
  <si>
    <t>GT-000236</t>
  </si>
  <si>
    <t>GT-000237</t>
  </si>
  <si>
    <t>GT-000238</t>
  </si>
  <si>
    <t>members for built-in redundancy and performance • Link Aggregation Control Protocol (LACP) for high-capacity trunking, with Multichassis (MLAG) support on stacked switches • Static and dynamic routing support with DHCP relay and server capabilities</t>
  </si>
  <si>
    <t>GT-000239</t>
  </si>
  <si>
    <t>Layer 3 routing; OSPF; warm spare</t>
  </si>
  <si>
    <t>Layer 3 routing</t>
  </si>
  <si>
    <t>The MS250 series supports Layer 3 routing.</t>
  </si>
  <si>
    <t>GT-000240</t>
  </si>
  <si>
    <t>GT-000241</t>
  </si>
  <si>
    <t>GT-000242</t>
  </si>
  <si>
    <t>OSPF</t>
  </si>
  <si>
    <t>OSPF is supported on the MS250 series.</t>
  </si>
  <si>
    <t>GT-000243</t>
  </si>
  <si>
    <t>MS250 switches support 40G stacking cables in various lengths as well as replaceable power supplies (PSU): Description Model Supported Models 250W Power Supply MA-PWR-250WAC MS250-24, MS250-48 640W Power Supply MA-PWR-640WAC MS250-24P, MS250-48LP 1025W Power Supply MA-PWR-1025WAC MS250-48FP</t>
  </si>
  <si>
    <t>GT-000244</t>
  </si>
  <si>
    <t>GT-000245</t>
  </si>
  <si>
    <t>Warm Spare (VRRP)</t>
  </si>
  <si>
    <t>Warm Spare (VRRP) is supported.</t>
  </si>
  <si>
    <t>GT-000246</t>
  </si>
  <si>
    <t>GT-000247</t>
  </si>
  <si>
    <t>Up to 8 switches</t>
  </si>
  <si>
    <t>Physical stacking up to 8 switches</t>
  </si>
  <si>
    <t>Up to eight switches can be physically stacked.</t>
  </si>
  <si>
    <t>GT-000248</t>
  </si>
  <si>
    <t>80 Gbps</t>
  </si>
  <si>
    <t>Stacking bandwidth: 80 Gbps.</t>
  </si>
  <si>
    <t>GT-000249</t>
  </si>
  <si>
    <t>Meraki cloud dashboard</t>
  </si>
  <si>
    <t>Cloud managed</t>
  </si>
  <si>
    <t>MS250 switches are managed through the Meraki cloud dashboard.</t>
  </si>
  <si>
    <t>GT-000250</t>
  </si>
  <si>
    <t>Full load 27 W</t>
  </si>
  <si>
    <t>MS250-24-HW full-load power: 27 W.</t>
  </si>
  <si>
    <t>GT-000251</t>
  </si>
  <si>
    <t>43.8 × 484.6 × 378 mm</t>
  </si>
  <si>
    <t>4.38 × 48.46 × 37.8 cm</t>
  </si>
  <si>
    <t>MS250-24-HW dimensions: 4.38 × 48.46 × 37.8 cm.</t>
  </si>
  <si>
    <t>GT-000252</t>
  </si>
  <si>
    <t>Operating temperature: -5 °C to 50 °C.</t>
  </si>
  <si>
    <t>GT-000253</t>
  </si>
  <si>
    <t>24 × Gigabit Ethernet</t>
  </si>
  <si>
    <t>C1300-24T-4X provides 24 Gigabit Ethernet access ports.</t>
  </si>
  <si>
    <t>GT-000254</t>
  </si>
  <si>
    <t>4 × 10G SFP+</t>
  </si>
  <si>
    <t>4 × SFP+</t>
  </si>
  <si>
    <t>C1300-24T-4X provides four SFP+ uplinks.</t>
  </si>
  <si>
    <t>GT-000255</t>
  </si>
  <si>
    <t>C1300-24T-4X switching capacity: 128 Gbps.</t>
  </si>
  <si>
    <t>GT-000256</t>
  </si>
  <si>
    <t>95.23 Mpps</t>
  </si>
  <si>
    <t>C1300-24T-4X forwarding rate: 95.23 Mpps.</t>
  </si>
  <si>
    <t>GT-000257</t>
  </si>
  <si>
    <t>GT-000258</t>
  </si>
  <si>
    <t>GT-000259</t>
  </si>
  <si>
    <t>GT-000260</t>
  </si>
  <si>
    <t>also provides other cost savings and administrative benefits through features such as cross-stack Quality of Service (QoS), VLANs, Link Aggregation (LAG), and port mirroring, which clustered switches cannot support. Compact design The sleek and compact design for the Cisco Catalyst 1300/X Series Switches provides additional</t>
  </si>
  <si>
    <t>GT-000261</t>
  </si>
  <si>
    <t>Static routing; RIP v2; inter-VLAN routing</t>
  </si>
  <si>
    <t>The Catalyst 1300 family supports Layer 3 routing including RIP v2.</t>
  </si>
  <si>
    <t>GT-000262</t>
  </si>
  <si>
    <t>128</t>
  </si>
  <si>
    <t>IPv4 routing Wire-speed routing of IPv4 packets ● Up to 990 (Dynamic + Static) IPv4 routes and up to 128 IP interfaces in C1300 ● Up to 7168 (Dynamic + Static) IPv4 routes and up to 256 IP interfaces in C1300 10 Gigabit Ethernet SKUs and C1300X SKUs IPv6 routing Wire-speed routing of IPv6 packets</t>
  </si>
  <si>
    <t>GT-000263</t>
  </si>
  <si>
    <t>GT-000264</t>
  </si>
  <si>
    <t>OSPF is limited to C1300X SKUs</t>
  </si>
  <si>
    <t>The datasheet states OSPF v2/v3 support is for C1300X SKUs only.</t>
  </si>
  <si>
    <t>GT-000265</t>
  </si>
  <si>
    <t>RIP v2</t>
  </si>
  <si>
    <t>RIP v2 dynamic routing is supported.</t>
  </si>
  <si>
    <t>GT-000266</t>
  </si>
  <si>
    <t>Support for RIP v2 for dynamic routing Policy-Based Routing (PBR) Flexible routing control to direct packets to a different next hop based on an IPv4 or IPv6 Access Control List (ACL)</t>
  </si>
  <si>
    <t>GT-000267</t>
  </si>
  <si>
    <t>GT-000268</t>
  </si>
  <si>
    <t>IGMP proxy The IGMP proxy provides a mechanism for multicast forwarding based on IGMP membership information without the need for more complicated multicast routing protocols Head-of-Line (HOL) blocking HOL blocking prevention</t>
  </si>
  <si>
    <t>GT-000269</t>
  </si>
  <si>
    <t>Front Panel Stacking up to 8 switches</t>
  </si>
  <si>
    <t>C1300-24T-4X is listed among models supporting stacking up to eight switches.</t>
  </si>
  <si>
    <t>GT-000270</t>
  </si>
  <si>
    <t>address. While both series simplify network admini stration and scalability, the Catalyst 1300X Series enhances this experience with increased stacking bandwidth. This higher bandwidth delivers faster data transfer between stacked switches, ensuring superior network performance and supporting more demanding business applications as your network grows. This stack delivers a unified data and control plane, in addition</t>
  </si>
  <si>
    <t>GT-000271</t>
  </si>
  <si>
    <t>Cisco Business Dashboard; mobile app; Web UI; CLI; SNMP</t>
  </si>
  <si>
    <t>Dashboard, app, Web UI, CLI, SNMP</t>
  </si>
  <si>
    <t>The switches support Cisco Business Dashboard and mobile app management.</t>
  </si>
  <si>
    <t>GT-000272</t>
  </si>
  <si>
    <t>22.3 W at 110 V</t>
  </si>
  <si>
    <t>C1300-24T-4X power consumption at 110 V: 22.3 W.</t>
  </si>
  <si>
    <t>GT-000273</t>
  </si>
  <si>
    <t>444.3 × 240 × 43.94 mm</t>
  </si>
  <si>
    <t>C1300-24T-4X unit dimensions: 444.3 × 240 × 43.94 mm.</t>
  </si>
  <si>
    <t>GT-000274</t>
  </si>
  <si>
    <t>GT-000275</t>
  </si>
  <si>
    <t>1 × 10G RJ45 data input + 1 × 10G RJ45 power/data output</t>
  </si>
  <si>
    <t>Two 100M/1G/2.5G/5G/10G ports</t>
  </si>
  <si>
    <t>PoE12-90W has one 10G data port and one 10G power/data port.</t>
  </si>
  <si>
    <t>GT-000276</t>
  </si>
  <si>
    <t>100-240 V AC, 2.0 A, 50/60 Hz</t>
  </si>
  <si>
    <t>100-240 V 2.0 A, 50/60 Hz</t>
  </si>
  <si>
    <t>PoE12-90W input: 100-240 V AC, 2.0 A, 50/60 Hz.</t>
  </si>
  <si>
    <t>GT-000277</t>
  </si>
  <si>
    <t>accessory_output_power</t>
  </si>
  <si>
    <t>90 W PoE output</t>
  </si>
  <si>
    <t>Maximum AC consumption includes 90 W PoE output.</t>
  </si>
  <si>
    <t>GT-000278</t>
  </si>
  <si>
    <t>accessory_poe_standard</t>
  </si>
  <si>
    <t>IEEE 802.3bt PoE++</t>
  </si>
  <si>
    <t>802.3bt PoE++</t>
  </si>
  <si>
    <t>PoE12-90W PoE standard: IEEE 802.3bt PoE++.</t>
  </si>
  <si>
    <t>GT-000279</t>
  </si>
  <si>
    <t>accessory_power_w</t>
  </si>
  <si>
    <t>90 W</t>
  </si>
  <si>
    <t>Total PoE budget: 90 W.</t>
  </si>
  <si>
    <t>GT-000280</t>
  </si>
  <si>
    <t>Up to 10G</t>
  </si>
  <si>
    <t>PoE12-90W port speed is up to 10G.</t>
  </si>
  <si>
    <t>GT-000281</t>
  </si>
  <si>
    <t>GT-000282</t>
  </si>
  <si>
    <t>196.25 × 80 × 39.8 mm</t>
  </si>
  <si>
    <t>PoE12-90W item dimensions: 196.25 × 80 × 39.8 mm.</t>
  </si>
  <si>
    <t>GT-000283</t>
  </si>
  <si>
    <t>-10 °C to 40 °C</t>
  </si>
  <si>
    <t>PoE12-90W operating temperature: -10 °C to 40 °C.</t>
  </si>
  <si>
    <t>GT-000284</t>
  </si>
  <si>
    <t>1 × fixed GbE WAN + 3 × GbE LAN/WAN; maximum 4 WAN</t>
  </si>
  <si>
    <t>Maximum WAN ports: 4; fixed WAN: 1; LAN/WAN: 3</t>
  </si>
  <si>
    <t>The router has one fixed WAN port and three LAN/WAN ports, supporting up to four WAN ports.</t>
  </si>
  <si>
    <t>GT-000285</t>
  </si>
  <si>
    <t>1 × fixed GbE LAN + 3 × GbE LAN/WAN; maximum 4 LAN</t>
  </si>
  <si>
    <t>Maximum LAN ports: 4; fixed LAN: 1; LAN/WAN: 3</t>
  </si>
  <si>
    <t>The router has one fixed LAN port and three LAN/WAN ports, supporting up to four LAN ports.</t>
  </si>
  <si>
    <t>GT-000286</t>
  </si>
  <si>
    <t>Throughput 700 Mbps</t>
  </si>
  <si>
    <t>System performance capacity: Throughput 700 Mbps.</t>
  </si>
  <si>
    <t>GT-000287</t>
  </si>
  <si>
    <t>GT-000288</t>
  </si>
  <si>
    <t>IPsec VPN bandwidth 24 Mbps</t>
  </si>
  <si>
    <t>IPsec VPN bandwidth: 24 Mbps.</t>
  </si>
  <si>
    <t>IPsec</t>
  </si>
  <si>
    <t>GT-000289</t>
  </si>
  <si>
    <t>Maximum concurrent sessions 12000</t>
  </si>
  <si>
    <t>Maximum number of concurrent sessions: 12000.</t>
  </si>
  <si>
    <t>GT-000290</t>
  </si>
  <si>
    <t>IPsec; L2TP; OpenVPN; PPTP; WireGuard client</t>
  </si>
  <si>
    <t>IPsec, L2TP, OpenVPN, PPTP, WireGuard client</t>
  </si>
  <si>
    <t>The VPN section lists IPsec, L2TP, OpenVPN, PPTP, and WireGuard client.</t>
  </si>
  <si>
    <t>GT-000291</t>
  </si>
  <si>
    <t>router_wifi_standard</t>
  </si>
  <si>
    <t>Wi-Fi 5 (IEEE 802.11ac)</t>
  </si>
  <si>
    <t>Wi-Fi standard: Wi-Fi 5 (IEEE 802.11ac).</t>
  </si>
  <si>
    <t>GT-000292</t>
  </si>
  <si>
    <t>router_supported_bands</t>
  </si>
  <si>
    <t>Dual-radio 2.4 GHz and 5 GHz</t>
  </si>
  <si>
    <t>The radio design is dual-radio with 2.4 GHz and 5 GHz Wi-Fi.</t>
  </si>
  <si>
    <t>GT-000293</t>
  </si>
  <si>
    <t>router_wireless_rate_mbps</t>
  </si>
  <si>
    <t>Maximum wireless data rate 1266 Mbps</t>
  </si>
  <si>
    <t>Maximum wireless data rate: 1266 Mbps.</t>
  </si>
  <si>
    <t>GT-000294</t>
  </si>
  <si>
    <t>Ruijie Cloud</t>
  </si>
  <si>
    <t>The product supports cloud portal and Ruijie cloud-based functions.</t>
  </si>
  <si>
    <t>GT-000295</t>
  </si>
  <si>
    <t>15 W</t>
  </si>
  <si>
    <t>Maximum power consumption: 15 W.</t>
  </si>
  <si>
    <t>GT-000296</t>
  </si>
  <si>
    <t>120 × 28 × 120 mm</t>
  </si>
  <si>
    <t>120 mm × 28 mm × 120 mm</t>
  </si>
  <si>
    <t>Product dimensions: 120 × 28 × 120 mm.</t>
  </si>
  <si>
    <t>GT-000297</t>
  </si>
  <si>
    <t>GT-000298</t>
  </si>
  <si>
    <t>16 × 10/100/1000BASE-T</t>
  </si>
  <si>
    <t>The switch provides sixteen 10/100/1000BASE-T ports.</t>
  </si>
  <si>
    <t>GT-000299</t>
  </si>
  <si>
    <t>2 × 1GE SFP</t>
  </si>
  <si>
    <t>The switch provides two 1GE SFP optical ports.</t>
  </si>
  <si>
    <t>GT-000300</t>
  </si>
  <si>
    <t>36 Gbps</t>
  </si>
  <si>
    <t>Switching capacity: 36 Gbps.</t>
  </si>
  <si>
    <t>GT-000301</t>
  </si>
  <si>
    <t>26.8 Mpps</t>
  </si>
  <si>
    <t>Forwarding rate: 26.8 Mpps.</t>
  </si>
  <si>
    <t>GT-000302</t>
  </si>
  <si>
    <t>IEEE 802.3af/at (PoE/PoE+)</t>
  </si>
  <si>
    <t>PoE/PoE+ IEEE 802.3af/at</t>
  </si>
  <si>
    <t>PoE output standard: IEEE 802.3af/at.</t>
  </si>
  <si>
    <t>GT-000303</t>
  </si>
  <si>
    <t>16 PoE/PoE+ ports</t>
  </si>
  <si>
    <t>Number of PoE/PoE+ output ports: 16.</t>
  </si>
  <si>
    <t>GT-000304</t>
  </si>
  <si>
    <t>240 W</t>
  </si>
  <si>
    <t>PoE budget: 240 W.</t>
  </si>
  <si>
    <t>GT-000305</t>
  </si>
  <si>
    <t>8000</t>
  </si>
  <si>
    <t>Maximum number of MAC address entries: 8000.</t>
  </si>
  <si>
    <t>GT-000306</t>
  </si>
  <si>
    <t>Maximum number of VLANs: 16</t>
  </si>
  <si>
    <t>Maximum number of VLANs: 16.</t>
  </si>
  <si>
    <t>GT-000307</t>
  </si>
  <si>
    <t>Model RG-ES218GC-P Product Category Layer 2 Hardware Specifications Model RG-ES218GC-P Product Information</t>
  </si>
  <si>
    <t>GT-000308</t>
  </si>
  <si>
    <t>GT-000309</t>
  </si>
  <si>
    <t>DHCP snooping Yes Standard ACL No Extended MAC ACL No Extended IP ACL No IPv6 ACL No</t>
  </si>
  <si>
    <t>GT-000310</t>
  </si>
  <si>
    <t>eWeb; Ruijie Cloud; Reyee App</t>
  </si>
  <si>
    <t>eWeb, Ruijie Cloud, Reyee App</t>
  </si>
  <si>
    <t>The switch supports eWeb, Ruijie Cloud, and Reyee App management.</t>
  </si>
  <si>
    <t>GT-000311</t>
  </si>
  <si>
    <t>GT-000312</t>
  </si>
  <si>
    <t>255 W with full PoE load</t>
  </si>
  <si>
    <t>Maximum power consumption: 255 W with full PoE load.</t>
  </si>
  <si>
    <t>GT-000313</t>
  </si>
  <si>
    <t>300 × 230 × 43.6 mm</t>
  </si>
  <si>
    <t>Product dimensions: 300 × 230 × 43.6 mm.</t>
  </si>
  <si>
    <t>GT-000314</t>
  </si>
  <si>
    <t>GT-000315</t>
  </si>
  <si>
    <t>2.4 GHz; 5 GHz; 6 GHz</t>
  </si>
  <si>
    <t>2.4/5/6 GHz tri-band</t>
  </si>
  <si>
    <t>Frequency bands cover 2.4 GHz, 5 GHz, and 6 GHz.</t>
  </si>
  <si>
    <t>GT-000316</t>
  </si>
  <si>
    <t>6 spatial streams</t>
  </si>
  <si>
    <t>The T670 is a tri-band AP delivering six spatial streams.</t>
  </si>
  <si>
    <t>GT-000317</t>
  </si>
  <si>
    <t>2.4 GHz: 689 Mbps</t>
  </si>
  <si>
    <t>Peak PHY rate at 2.4 GHz: 689 Mbps.</t>
  </si>
  <si>
    <t>GT-000318</t>
  </si>
  <si>
    <t>5 GHz: 5765 Mbps (4x4:4)</t>
  </si>
  <si>
    <t>Peak PHY rate at 5 GHz: 5765 Mbps in 4x4:4 mode.</t>
  </si>
  <si>
    <t>5 GHz maximum</t>
  </si>
  <si>
    <t>GT-000319</t>
  </si>
  <si>
    <t>6 GHz: 5765 Mbps</t>
  </si>
  <si>
    <t>Peak PHY rate at 6 GHz: 5765 Mbps.</t>
  </si>
  <si>
    <t>GT-000320</t>
  </si>
  <si>
    <t>20/40/80/160/320 MHz</t>
  </si>
  <si>
    <t>Channelization includes 20, 40, 80, 160, and 320 MHz.</t>
  </si>
  <si>
    <t>GT-000321</t>
  </si>
  <si>
    <t>1 × 100M/1/2.5/5GbE PoE + 1 × 10M/100M/1GbE</t>
  </si>
  <si>
    <t>One 5GbE PoE port and one 1GbE port</t>
  </si>
  <si>
    <t>Physical interfaces include one 5GbE PoE port and one 1GbE port.</t>
  </si>
  <si>
    <t>GT-000322</t>
  </si>
  <si>
    <t>IEEE 802.3af/at/bt; PoH; uPoE</t>
  </si>
  <si>
    <t>802.3af/at/bt</t>
  </si>
  <si>
    <t>Power over Ethernet supports IEEE 802.3af/at/bt.</t>
  </si>
  <si>
    <t>GT-000323</t>
  </si>
  <si>
    <t>Up to 768 clients per AP</t>
  </si>
  <si>
    <t>Client capacity: up to 768 clients per AP.</t>
  </si>
  <si>
    <t>GT-000324</t>
  </si>
  <si>
    <t>IP67</t>
  </si>
  <si>
    <t>IP-67 weatherproofing</t>
  </si>
  <si>
    <t>The outdoor enclosure provides IP-67 weatherproofing.</t>
  </si>
  <si>
    <t>GT-000325</t>
  </si>
  <si>
    <t>BeamFlex+ adaptive antennas with polarization diversity</t>
  </si>
  <si>
    <t>BeamFlex+ adaptive antennas</t>
  </si>
  <si>
    <t>Antenna type: BeamFlex+ adaptive antennas with polarization diversity.</t>
  </si>
  <si>
    <t>GT-000326</t>
  </si>
  <si>
    <t>Up to 3.2 dBi</t>
  </si>
  <si>
    <t>Maximum antenna gain: up to 3.2 dBi.</t>
  </si>
  <si>
    <t>GT-000327</t>
  </si>
  <si>
    <t>Not Published</t>
  </si>
  <si>
    <t>No numeric coverage distance published</t>
  </si>
  <si>
    <t>GT-000328</t>
  </si>
  <si>
    <t>lightning_protection_kv</t>
  </si>
  <si>
    <t>kV</t>
  </si>
  <si>
    <t>No lightning/surge rating published</t>
  </si>
  <si>
    <t>GT-000329</t>
  </si>
  <si>
    <t>SmartZone; RUCKUS Unleashed; RUCKUS One</t>
  </si>
  <si>
    <t>SmartZone, RUCKUS Unleashed, RUCKUS One</t>
  </si>
  <si>
    <t>Controller platform support includes SmartZone, RUCKUS Unleashed, and RUCKUS One.</t>
  </si>
  <si>
    <t>GT-000330</t>
  </si>
  <si>
    <t>SmartMesh</t>
  </si>
  <si>
    <t>SmartMesh self-healing wireless meshing is supported.</t>
  </si>
  <si>
    <t>GT-000331</t>
  </si>
  <si>
    <t>802.11r/k/v; SmartRoam</t>
  </si>
  <si>
    <t>Other Wi-Fi features include 802.11r/k/v; mobility includes SmartRoam.</t>
  </si>
  <si>
    <t>GT-000332</t>
  </si>
  <si>
    <t>wireless_security</t>
  </si>
  <si>
    <t>WPA/WPA2/WPA3; WPA3-SAE; OWE; PMF; DPSK3; WIPS/WIDS</t>
  </si>
  <si>
    <t>WPA, WPA2, WPA3, OWE, PMF, DPSK3</t>
  </si>
  <si>
    <t>The security section lists WPA/WPA2/WPA3, OWE, PMF, DPSK3, and WIPS/WIDS.</t>
  </si>
  <si>
    <t>GT-000333</t>
  </si>
  <si>
    <t>POWER CONSUMPTION Mode Max Power Capabilities Wi-Fi Radios DC Power</t>
  </si>
  <si>
    <t>GT-000334</t>
  </si>
  <si>
    <t>248 × 238 × 108 mm</t>
  </si>
  <si>
    <t>24.8 × 23.8 × 10.8 cm</t>
  </si>
  <si>
    <t>Physical size: 24.8 × 23.8 × 10.8 cm.</t>
  </si>
  <si>
    <t>GT-000335</t>
  </si>
  <si>
    <t>-40 °C to 65 °C</t>
  </si>
  <si>
    <t>Operating temperature: -40 °C to 65 °C.</t>
  </si>
  <si>
    <t>GT-000336</t>
  </si>
  <si>
    <t>8 × 10/100 Mbps RJ45</t>
  </si>
  <si>
    <t>8 × 10/100M auto-negotiation RJ45 ports</t>
  </si>
  <si>
    <t>S108 interface: eight 10/100 Mbps auto-negotiation RJ45 ports.</t>
  </si>
  <si>
    <t>GT-000337</t>
  </si>
  <si>
    <t>GT-000338</t>
  </si>
  <si>
    <t>1.6 Gbps</t>
  </si>
  <si>
    <t>S108 switching capacity: 1.6 Gbps.</t>
  </si>
  <si>
    <t>GT-000339</t>
  </si>
  <si>
    <t>148800 pps at 100 Mbps</t>
  </si>
  <si>
    <t>Forwarding speed at 100 Mbps: 148800 pps.</t>
  </si>
  <si>
    <t>Per 100 Mbps port</t>
  </si>
  <si>
    <t>GT-000340</t>
  </si>
  <si>
    <t>GT-000341</t>
  </si>
  <si>
    <t>GT-000342</t>
  </si>
  <si>
    <t>GT-000343</t>
  </si>
  <si>
    <t>GT-000344</t>
  </si>
  <si>
    <t>GT-000345</t>
  </si>
  <si>
    <t>No port isolation feature published</t>
  </si>
  <si>
    <t>GT-000346</t>
  </si>
  <si>
    <t>GT-000347</t>
  </si>
  <si>
    <t>GT-000348</t>
  </si>
  <si>
    <t>Desktop or wall mounting</t>
  </si>
  <si>
    <t>Wall &amp; desktop mounting design</t>
  </si>
  <si>
    <t>The switch supports wall or desktop mounting.</t>
  </si>
  <si>
    <t>GT-000349</t>
  </si>
  <si>
    <t>Maximum 2.15 W</t>
  </si>
  <si>
    <t>S108 maximum power consumption: 2.15 W.</t>
  </si>
  <si>
    <t>GT-000350</t>
  </si>
  <si>
    <t>124 × 59 × 23.1 mm</t>
  </si>
  <si>
    <t>124.00 × 59 × 23.1 mm</t>
  </si>
  <si>
    <t>S108 product dimensions: 124 × 59 × 23.1 mm.</t>
  </si>
  <si>
    <t>GT-000351</t>
  </si>
  <si>
    <t>GT-000352</t>
  </si>
  <si>
    <t>2.4 / 5 / 6 GHz</t>
  </si>
  <si>
    <t>Operating Frequency lists 2.4 GHz, 5 GHz, and 6 GHz ranges.</t>
  </si>
  <si>
    <t>GT-000353</t>
  </si>
  <si>
    <t>Spatial Streams: 6</t>
  </si>
  <si>
    <t>Spatial Streams: 6.</t>
  </si>
  <si>
    <t>GT-000354</t>
  </si>
  <si>
    <t>688 Mbps (BW40)</t>
  </si>
  <si>
    <t>Max. Data Rate 2.4 GHz: 688 Mbps (BW40).</t>
  </si>
  <si>
    <t>GT-000355</t>
  </si>
  <si>
    <t>4.3 Gbps (BW240)</t>
  </si>
  <si>
    <t>Max. Data Rate 5 GHz: 4.3 Gbps (BW240).</t>
  </si>
  <si>
    <t>GT-000356</t>
  </si>
  <si>
    <t>5.8 Gbps (BW320)</t>
  </si>
  <si>
    <t>Max. Data Rate 6 GHz: 5.8 Gbps (BW320).</t>
  </si>
  <si>
    <t>GT-000357</t>
  </si>
  <si>
    <t>EHT 20/40/80/160/240/320 MHz</t>
  </si>
  <si>
    <t>Channel Bandwidth includes EHT 20/40/80/160/240/320 MHz.</t>
  </si>
  <si>
    <t>GT-000358</t>
  </si>
  <si>
    <t>1 × 1/2.5 GbE RJ45</t>
  </si>
  <si>
    <t>(1) 1/2.5 GbE RJ45 port</t>
  </si>
  <si>
    <t>Networking Interface: (1) 1/2.5 GbE RJ45 port.</t>
  </si>
  <si>
    <t>GT-000359</t>
  </si>
  <si>
    <t>PoE+</t>
  </si>
  <si>
    <t>Power Method: PoE+</t>
  </si>
  <si>
    <t>Power Method: PoE+.</t>
  </si>
  <si>
    <t>GT-000360</t>
  </si>
  <si>
    <t>300+</t>
  </si>
  <si>
    <t>Max. Client Count: 300+</t>
  </si>
  <si>
    <t>Max. Client Count: 300+.</t>
  </si>
  <si>
    <t>GT-000361</t>
  </si>
  <si>
    <t>GT-000362</t>
  </si>
  <si>
    <t>2.4 GHz: 4 dBi; 5 GHz: 5 dBi; 6 GHz: 6 dBi</t>
  </si>
  <si>
    <t>4 / 5 / 6 dBi</t>
  </si>
  <si>
    <t>Antenna Gain: 2.4 GHz 4 dBi; 5 GHz 5 dBi; 6 GHz 6 dBi.</t>
  </si>
  <si>
    <t>GT-000363</t>
  </si>
  <si>
    <t>UniFi Network</t>
  </si>
  <si>
    <t>UniFi Network Version 8.1.113 and later</t>
  </si>
  <si>
    <t>Application Requirements: UniFi Network Version 8.1.113 and later.</t>
  </si>
  <si>
    <t>GT-000364</t>
  </si>
  <si>
    <t>22 W</t>
  </si>
  <si>
    <t>Max. Power Consumption: 22 W.</t>
  </si>
  <si>
    <t>GT-000365</t>
  </si>
  <si>
    <t>150 × 103 × 36 mm</t>
  </si>
  <si>
    <t>Dimensions: 150 × 103 × 36 mm.</t>
  </si>
  <si>
    <t>GT-000366</t>
  </si>
  <si>
    <t>-30 °C to 60 °C</t>
  </si>
  <si>
    <t>-30 to 60 °C</t>
  </si>
  <si>
    <t>Ambient Operating Temperature: -30 to 60 °C.</t>
  </si>
  <si>
    <t>GT-000367</t>
  </si>
  <si>
    <t>1 × 2.5 GbE RJ45 default; up to 4 WAN ports</t>
  </si>
  <si>
    <t>Default WAN: (1) 2.5 GbE RJ45; Max. WAN Port Count: 4</t>
  </si>
  <si>
    <t>Max. WAN Port Count: 4; Default WAN Ports: (1) 2.5 GbE RJ45.</t>
  </si>
  <si>
    <t>GT-000368</t>
  </si>
  <si>
    <t>4 × 1 GbE RJ45 (one remappable to WAN)</t>
  </si>
  <si>
    <t>(4) GbE RJ45 LAN ports, including one remappable to WAN</t>
  </si>
  <si>
    <t>Port diagram states four GbE RJ45 LAN ports, including one remappable to WAN.</t>
  </si>
  <si>
    <t>GT-000369</t>
  </si>
  <si>
    <t>Routing throughput not explicitly published</t>
  </si>
  <si>
    <t>GT-000370</t>
  </si>
  <si>
    <t>NAT throughput not explicitly published</t>
  </si>
  <si>
    <t>GT-000371</t>
  </si>
  <si>
    <t>VPN throughput not explicitly published</t>
  </si>
  <si>
    <t>GT-000372</t>
  </si>
  <si>
    <t>Simultaneous Users Connected: 300+</t>
  </si>
  <si>
    <t>Simultaneous Users Connected: 300+.</t>
  </si>
  <si>
    <t>GT-000373</t>
  </si>
  <si>
    <t>IPsec; OpenVPN; WireGuard; L2TP; Site Magic; Teleport</t>
  </si>
  <si>
    <t>IPsec, OpenVPN, WireGuard, L2TP, Site Magic, Teleport</t>
  </si>
  <si>
    <t>VPN &amp; SD-WAN section lists IPsec, OpenVPN, WireGuard, L2TP, Site Magic, and Teleport.</t>
  </si>
  <si>
    <t>GT-000374</t>
  </si>
  <si>
    <t>UniFi Application Suite: Network</t>
  </si>
  <si>
    <t>UniFi Application Suite: Network is supported.</t>
  </si>
  <si>
    <t>GT-000375</t>
  </si>
  <si>
    <t>router_poe_ports</t>
  </si>
  <si>
    <t>No PoE LAN output stated</t>
  </si>
  <si>
    <t>GT-000376</t>
  </si>
  <si>
    <t>router_poe_budget_w</t>
  </si>
  <si>
    <t>No PoE budget stated</t>
  </si>
  <si>
    <t>GT-000377</t>
  </si>
  <si>
    <t>4 × 1 GbE RJ45 + 1 × 2.5 GbE RJ45</t>
  </si>
  <si>
    <t>4 × 1 GbE RJ45; 1 × 2.5 GbE RJ45</t>
  </si>
  <si>
    <t>Port layout: four 1 GbE RJ45 ports and one 2.5 GbE RJ45 port.</t>
  </si>
  <si>
    <t>GT-000378</t>
  </si>
  <si>
    <t>usb_interfaces</t>
  </si>
  <si>
    <t>USB Type-C power input</t>
  </si>
  <si>
    <t>USB type C (5 V DC/3 A)</t>
  </si>
  <si>
    <t>Power Method: USB type C (5 V DC/3 A).</t>
  </si>
  <si>
    <t>GT-000379</t>
  </si>
  <si>
    <t>6.2 W</t>
  </si>
  <si>
    <t>Max. Power Consumption: 6.2 W.</t>
  </si>
  <si>
    <t>GT-000380</t>
  </si>
  <si>
    <t>141.8 × 127.6 × 30 mm</t>
  </si>
  <si>
    <t>Dimensions: 141.8 × 127.6 × 30 mm.</t>
  </si>
  <si>
    <t>GT-000381</t>
  </si>
  <si>
    <t>-10 to 40 °C</t>
  </si>
  <si>
    <t>Ambient Operating Temperature: -10 to 40 °C.</t>
  </si>
  <si>
    <t>型号校验评测</t>
  </si>
  <si>
    <t>黄色为运行结果输入；灰色为从案例清单读取或自动判定。</t>
  </si>
  <si>
    <t>Run_ID</t>
  </si>
  <si>
    <t>Expected_Match</t>
  </si>
  <si>
    <t>Predicted_Match</t>
  </si>
  <si>
    <t>Predicted_Model</t>
  </si>
  <si>
    <t>Evidence_Page</t>
  </si>
  <si>
    <t>Verdict</t>
  </si>
  <si>
    <t>Algorithm_Version</t>
  </si>
  <si>
    <t>逐字段规格评测</t>
  </si>
  <si>
    <t>每个 GT_ID 每次运行一行；额外预测留空 GT_ID。判定公式区分 TP、FP、FN 和 VALUE_ERROR。</t>
  </si>
  <si>
    <t>Expected_Normalized</t>
  </si>
  <si>
    <t>Expected_Status</t>
  </si>
  <si>
    <t>Predicted_Normalized</t>
  </si>
  <si>
    <t>Predicted_Status</t>
  </si>
  <si>
    <t>System_Confidence</t>
  </si>
  <si>
    <t>Evidence_Correct</t>
  </si>
  <si>
    <t>Value_Verdict</t>
  </si>
  <si>
    <t>Error_Type</t>
  </si>
  <si>
    <t>算法运行记录</t>
  </si>
  <si>
    <t>每个 Run × Case 一行；时间使用真实日期时间，Total Seconds 自动计算。</t>
  </si>
  <si>
    <t>Started_At</t>
  </si>
  <si>
    <t>Completed_At</t>
  </si>
  <si>
    <t>Total_Seconds</t>
  </si>
  <si>
    <t>Parse_Seconds</t>
  </si>
  <si>
    <t>AI_Seconds</t>
  </si>
  <si>
    <t>Peak_RAM_MB</t>
  </si>
  <si>
    <t>Input_Tokens</t>
  </si>
  <si>
    <t>Output_Tokens</t>
  </si>
  <si>
    <t>Predicted_Spec_Count</t>
  </si>
  <si>
    <t>Accepted_Spec_Count</t>
  </si>
  <si>
    <t>Run_Status</t>
  </si>
  <si>
    <t>Error_Message</t>
  </si>
  <si>
    <t>当前系统规格字段字典</t>
  </si>
  <si>
    <t>从正式数据库读取；用于选择 Spec_Code、数据类型、单位及适用产品形态。</t>
  </si>
  <si>
    <t>Display_Name</t>
  </si>
  <si>
    <t>Group</t>
  </si>
  <si>
    <t>Data_Type</t>
  </si>
  <si>
    <t>Core</t>
  </si>
  <si>
    <t>Applicable_Form_Factors</t>
  </si>
  <si>
    <t>Template_Priority</t>
  </si>
  <si>
    <t>Required_In_Any_Template</t>
  </si>
  <si>
    <t>General</t>
  </si>
  <si>
    <t>Ethernet Interfaces</t>
  </si>
  <si>
    <t>Interfaces</t>
  </si>
  <si>
    <t>Maximum Power Consumption</t>
  </si>
  <si>
    <t>Power</t>
  </si>
  <si>
    <t>Fanless Design</t>
  </si>
  <si>
    <t>Physical</t>
  </si>
  <si>
    <t>IP / Weatherproof Rating</t>
  </si>
  <si>
    <t>Environment</t>
  </si>
  <si>
    <t>Lightning / Surge Protection</t>
  </si>
  <si>
    <t>Operating Temperature</t>
  </si>
  <si>
    <t>Dimensions</t>
  </si>
  <si>
    <t>Supported Wireless Bands</t>
  </si>
  <si>
    <t>Wireless</t>
  </si>
  <si>
    <t>ceiling, desktop, extender, outdoor, wall, wall_plate, 通用</t>
  </si>
  <si>
    <t>p0</t>
  </si>
  <si>
    <t>Total Spatial Streams</t>
  </si>
  <si>
    <t>ceiling, desktop, outdoor, wall, wall_plate, 通用</t>
  </si>
  <si>
    <t>2.4 GHz MIMO</t>
  </si>
  <si>
    <t>ceiling, wall_plate, 通用</t>
  </si>
  <si>
    <t>p0, p1</t>
  </si>
  <si>
    <t>5 GHz MIMO</t>
  </si>
  <si>
    <t>6 GHz MIMO</t>
  </si>
  <si>
    <t>2.4 GHz Max Rate</t>
  </si>
  <si>
    <t>Performance</t>
  </si>
  <si>
    <t>5 GHz Max Rate</t>
  </si>
  <si>
    <t>6 GHz Max Rate</t>
  </si>
  <si>
    <t>Max Channel Width</t>
  </si>
  <si>
    <t>Antenna Type</t>
  </si>
  <si>
    <t>ceiling, desktop, extender, outdoor, wall, 通用</t>
  </si>
  <si>
    <t>Antenna Gain</t>
  </si>
  <si>
    <t>ceiling, outdoor, wall, 通用</t>
  </si>
  <si>
    <t>Maximum Clients</t>
  </si>
  <si>
    <t>Capacity</t>
  </si>
  <si>
    <t>max_ssids</t>
  </si>
  <si>
    <t>Maximum SSIDs</t>
  </si>
  <si>
    <t>wall_plate, 通用</t>
  </si>
  <si>
    <t>p1</t>
  </si>
  <si>
    <t>PoE Input</t>
  </si>
  <si>
    <t>poe_output</t>
  </si>
  <si>
    <t>PoE Output</t>
  </si>
  <si>
    <t>desktop, wall_plate</t>
  </si>
  <si>
    <t>Centralized Management</t>
  </si>
  <si>
    <t>Management</t>
  </si>
  <si>
    <t>Mesh Support</t>
  </si>
  <si>
    <t>ceiling, extender, outdoor, 通用</t>
  </si>
  <si>
    <t>Fast Roaming</t>
  </si>
  <si>
    <t>ceiling, outdoor, wall_plate, 通用</t>
  </si>
  <si>
    <t>Wireless Security</t>
  </si>
  <si>
    <t>Security</t>
  </si>
  <si>
    <t>extender, outdoor, wall_plate, 通用</t>
  </si>
  <si>
    <t>Connector Type</t>
  </si>
  <si>
    <t>antenna, media_converter, optical_module, 通用</t>
  </si>
  <si>
    <t>Interface Type</t>
  </si>
  <si>
    <t>dac_cable, media_converter, optical_module, poe_injector, 通用</t>
  </si>
  <si>
    <t>Maximum Data Rate</t>
  </si>
  <si>
    <t>dac_cable, media_converter, optical_module, poe_injector</t>
  </si>
  <si>
    <t>Input Power</t>
  </si>
  <si>
    <t>chassis, media_converter, poe_injector, power_supply</t>
  </si>
  <si>
    <t>Output Power</t>
  </si>
  <si>
    <t>poe_injector, power_supply</t>
  </si>
  <si>
    <t>PoE Standard</t>
  </si>
  <si>
    <t>Maximum Output Power</t>
  </si>
  <si>
    <t>Wavelength</t>
  </si>
  <si>
    <t>Optical</t>
  </si>
  <si>
    <t>Fiber Mode</t>
  </si>
  <si>
    <t>media_converter, optical_module</t>
  </si>
  <si>
    <t>Maximum Transmission Distance</t>
  </si>
  <si>
    <t>Cable Length</t>
  </si>
  <si>
    <t>Compatible Products</t>
  </si>
  <si>
    <t>Compatibility</t>
  </si>
  <si>
    <t>antenna, chassis, dac_cable, junction_box, media_converter, mounting, optical_module, poe_injector, power_supply, 通用</t>
  </si>
  <si>
    <t>accessory_mounting_type</t>
  </si>
  <si>
    <t>Mounting Type</t>
  </si>
  <si>
    <t>junction_box, mounting</t>
  </si>
  <si>
    <t>accessory_rack_units</t>
  </si>
  <si>
    <t>Rack Units</t>
  </si>
  <si>
    <t>U</t>
  </si>
  <si>
    <t>chassis, mounting</t>
  </si>
  <si>
    <t>accessory_antenna_gain_dbi</t>
  </si>
  <si>
    <t>accessory_frequency_range</t>
  </si>
  <si>
    <t>Frequency Range</t>
  </si>
  <si>
    <t>WAN Interfaces</t>
  </si>
  <si>
    <t>cellular_router, integrated_gateway, outdoor_cellular_router, wired_router, wireless_router, 通用</t>
  </si>
  <si>
    <t>LAN Interfaces</t>
  </si>
  <si>
    <t>USB Interfaces</t>
  </si>
  <si>
    <t>integrated_gateway, 通用</t>
  </si>
  <si>
    <t>Routing Throughput</t>
  </si>
  <si>
    <t>NAT Throughput</t>
  </si>
  <si>
    <t>VPN / IPsec Throughput</t>
  </si>
  <si>
    <t>Concurrent Sessions</t>
  </si>
  <si>
    <t>VPN Tunnels</t>
  </si>
  <si>
    <t>wired_router, 通用</t>
  </si>
  <si>
    <t>Multi-WAN Load Balancing</t>
  </si>
  <si>
    <t>Routing</t>
  </si>
  <si>
    <t>SD-WAN Capabilities</t>
  </si>
  <si>
    <t>Firewall / Security Features</t>
  </si>
  <si>
    <t>Supported VPN Protocols</t>
  </si>
  <si>
    <t>Controller / Cloud Management</t>
  </si>
  <si>
    <t>integrated_gateway, wired_router, wireless_router, 通用</t>
  </si>
  <si>
    <t>Wi-Fi Standard</t>
  </si>
  <si>
    <t>cellular_router, wireless_router</t>
  </si>
  <si>
    <t>Maximum Wireless Rate</t>
  </si>
  <si>
    <t>cellular_standard</t>
  </si>
  <si>
    <t>Cellular Standard</t>
  </si>
  <si>
    <t>Cellular</t>
  </si>
  <si>
    <t>cellular_router, outdoor_cellular_router</t>
  </si>
  <si>
    <t>sim_interfaces</t>
  </si>
  <si>
    <t>SIM Interfaces</t>
  </si>
  <si>
    <t>cellular_downlink_mbps</t>
  </si>
  <si>
    <t>Cellular Downlink Rate</t>
  </si>
  <si>
    <t>PoE-Capable LAN Ports</t>
  </si>
  <si>
    <t>PoE</t>
  </si>
  <si>
    <t>Router PoE Budget</t>
  </si>
  <si>
    <t>Uplink / SFP Interfaces</t>
  </si>
  <si>
    <t>l2, l2_plus, l3, 通用</t>
  </si>
  <si>
    <t>Supported PoE Standards</t>
  </si>
  <si>
    <t>PoE-Capable Ports</t>
  </si>
  <si>
    <t>Total PoE Budget</t>
  </si>
  <si>
    <t>max_poe_per_port_w</t>
  </si>
  <si>
    <t>Maximum PoE per Port</t>
  </si>
  <si>
    <t>通用</t>
  </si>
  <si>
    <t>redundant_power</t>
  </si>
  <si>
    <t>Redundant Power Supply</t>
  </si>
  <si>
    <t>Switching Capacity</t>
  </si>
  <si>
    <t>Packet Forwarding Rate</t>
  </si>
  <si>
    <t>MAC Address Table</t>
  </si>
  <si>
    <t>l2, l2_plus, 通用</t>
  </si>
  <si>
    <t>packet_buffer_mb</t>
  </si>
  <si>
    <t>Packet Buffer</t>
  </si>
  <si>
    <t>MB</t>
  </si>
  <si>
    <t>jumbo_frame_bytes</t>
  </si>
  <si>
    <t>Jumbo Frame</t>
  </si>
  <si>
    <t>bytes</t>
  </si>
  <si>
    <t>Maximum VLANs</t>
  </si>
  <si>
    <t>Layer 2 Features</t>
  </si>
  <si>
    <t>Features</t>
  </si>
  <si>
    <t>Layer 3 / Routing Features</t>
  </si>
  <si>
    <t>l2_plus, l3, 通用</t>
  </si>
  <si>
    <t>Stacking Capability</t>
  </si>
  <si>
    <t>l3, 通用</t>
  </si>
  <si>
    <t>ACL / Port Security</t>
  </si>
  <si>
    <t>Management Methods</t>
  </si>
  <si>
    <t>console_interfaces</t>
  </si>
  <si>
    <t>Console Ports</t>
  </si>
  <si>
    <t>management_interfaces</t>
  </si>
  <si>
    <t>Dedicated Management Ports</t>
  </si>
  <si>
    <t>switch_usb_interfaces</t>
  </si>
  <si>
    <t>USB Ports</t>
  </si>
  <si>
    <t>cpu</t>
  </si>
  <si>
    <t>CPU</t>
  </si>
  <si>
    <t>Hardware</t>
  </si>
  <si>
    <t>flash_memory</t>
  </si>
  <si>
    <t>Flash Memory</t>
  </si>
  <si>
    <t>dram_memory</t>
  </si>
  <si>
    <t>DRAM</t>
  </si>
  <si>
    <t>fan_design</t>
  </si>
  <si>
    <t>Fan Design</t>
  </si>
  <si>
    <t>poe_configuration</t>
  </si>
  <si>
    <t>PoE Configuration</t>
  </si>
  <si>
    <t>Stacking Bandwidth</t>
  </si>
  <si>
    <t>Stacking</t>
  </si>
  <si>
    <t>stacking_units</t>
  </si>
  <si>
    <t>Maximum Stacking Units</t>
  </si>
  <si>
    <t>stacking_ports</t>
  </si>
  <si>
    <t>Stacking Ports</t>
  </si>
  <si>
    <t>IP Interface Capacity</t>
  </si>
  <si>
    <t>arp_entry_capacity</t>
  </si>
  <si>
    <t>ARP Entry Capacity</t>
  </si>
  <si>
    <t>Routing Entry Capacity</t>
  </si>
  <si>
    <t>igmp_group_capacity</t>
  </si>
  <si>
    <t>IGMP Group Capacity</t>
  </si>
  <si>
    <t>lag_group_capacity</t>
  </si>
  <si>
    <t>LAG Group Capacity</t>
  </si>
  <si>
    <t>sdn_support</t>
  </si>
  <si>
    <t>SDN Support</t>
  </si>
  <si>
    <t>p2</t>
  </si>
  <si>
    <t>DHCP Features</t>
  </si>
  <si>
    <t>l2_plus, 通用</t>
  </si>
  <si>
    <t>p1, p2</t>
  </si>
  <si>
    <t>STP / MSTP</t>
  </si>
  <si>
    <t>erps_support</t>
  </si>
  <si>
    <t>ERPS</t>
  </si>
  <si>
    <t>mld_snooping</t>
  </si>
  <si>
    <t>MLD Snooping</t>
  </si>
  <si>
    <t>Multicast</t>
  </si>
  <si>
    <t>RIP</t>
  </si>
  <si>
    <t>Policy-Based Routing</t>
  </si>
  <si>
    <t>bfd_support</t>
  </si>
  <si>
    <t>BFD</t>
  </si>
  <si>
    <t>macsec_support</t>
  </si>
  <si>
    <t>MACsec</t>
  </si>
  <si>
    <t>secure_boot</t>
  </si>
  <si>
    <t>Secure Boot</t>
  </si>
  <si>
    <t>vxlan_support</t>
  </si>
  <si>
    <t>VXLAN</t>
  </si>
  <si>
    <t>Data Center</t>
  </si>
  <si>
    <t>m_lag_support</t>
  </si>
  <si>
    <t>M-LAG</t>
  </si>
  <si>
    <t>ptp_support</t>
  </si>
  <si>
    <t>PTP</t>
  </si>
  <si>
    <t>Timing</t>
  </si>
  <si>
    <t>mpls_support</t>
  </si>
  <si>
    <t>MPLS</t>
  </si>
  <si>
    <t>netconf_support</t>
  </si>
  <si>
    <t>NETCONF</t>
  </si>
  <si>
    <t>configuration_rollback</t>
  </si>
  <si>
    <t>Configuration Rollback</t>
  </si>
  <si>
    <t>hot_patching</t>
  </si>
  <si>
    <t>Hot Patching</t>
  </si>
  <si>
    <t>Reliability</t>
  </si>
  <si>
    <t>Multicast Routing</t>
  </si>
  <si>
    <t>segment_routing</t>
  </si>
  <si>
    <t>Segment Routing</t>
  </si>
  <si>
    <t>dcb_support</t>
  </si>
  <si>
    <t>Data Center Bridging</t>
  </si>
  <si>
    <t>gre_tunnel</t>
  </si>
  <si>
    <t>GRE Tunnel</t>
  </si>
  <si>
    <t>isp_features</t>
  </si>
  <si>
    <t>ISP Features</t>
  </si>
  <si>
    <t>easy_smart_features</t>
  </si>
  <si>
    <t>Easy Smart Features</t>
  </si>
  <si>
    <t>management_type</t>
  </si>
  <si>
    <t>Management Type</t>
  </si>
  <si>
    <t>easy_smart, 通用</t>
  </si>
  <si>
    <t>vlan_support</t>
  </si>
  <si>
    <t>VLAN</t>
  </si>
  <si>
    <t>qos_support</t>
  </si>
  <si>
    <t>QoS</t>
  </si>
  <si>
    <t>link_aggregation</t>
  </si>
  <si>
    <t>Link Aggregation</t>
  </si>
  <si>
    <t>igmp_snooping</t>
  </si>
  <si>
    <t>IGMP Snooping</t>
  </si>
  <si>
    <t>port_mirroring</t>
  </si>
  <si>
    <t>Port Mirroring</t>
  </si>
  <si>
    <t>Diagnostics</t>
  </si>
  <si>
    <t>cable_test</t>
  </si>
  <si>
    <t>Cable Test</t>
  </si>
  <si>
    <t>PoE Extend Mode</t>
  </si>
  <si>
    <t>PoE Features</t>
  </si>
  <si>
    <t>unmanaged, 通用</t>
  </si>
  <si>
    <t>PoE Auto Recovery</t>
  </si>
  <si>
    <t>Port Isolation</t>
  </si>
  <si>
    <t>Isolation</t>
  </si>
  <si>
    <t>Loop Prevention</t>
  </si>
  <si>
    <t>Desktop / Rack Installation</t>
  </si>
  <si>
    <t>easy_smart, unmanaged, 通用</t>
  </si>
  <si>
    <t>beamwidth</t>
  </si>
  <si>
    <t>Antenna Beamwidth</t>
  </si>
  <si>
    <t>Coverage / Transmission Distance</t>
  </si>
  <si>
    <t>Coverage</t>
  </si>
  <si>
    <t>bridge_modes</t>
  </si>
  <si>
    <t>Bridge / Operating Modes</t>
  </si>
  <si>
    <t>max_bridge_pairs</t>
  </si>
  <si>
    <t>Maximum Bridge Links</t>
  </si>
  <si>
    <t>枚举与下拉选项</t>
  </si>
  <si>
    <t>数据验证引用区域；可以增加选项，但不要改变现有含义。</t>
  </si>
  <si>
    <t>Product Type Name</t>
  </si>
  <si>
    <t>Document Kind</t>
  </si>
  <si>
    <t>Complexity</t>
  </si>
  <si>
    <t>Yes/No</t>
  </si>
  <si>
    <t>Review Status</t>
  </si>
  <si>
    <t>Value Status</t>
  </si>
  <si>
    <t>Value Type</t>
  </si>
  <si>
    <t>Evidence Grade</t>
  </si>
  <si>
    <t>Model Verdict</t>
  </si>
  <si>
    <t>Ceiling Mount — Access Point</t>
  </si>
  <si>
    <t>Draft</t>
  </si>
  <si>
    <t>Correct</t>
  </si>
  <si>
    <t>Wall Mount — Access Point</t>
  </si>
  <si>
    <t>Scanned PDF</t>
  </si>
  <si>
    <t>Annotated</t>
  </si>
  <si>
    <t>B</t>
  </si>
  <si>
    <t>Wall Plate — Access Point</t>
  </si>
  <si>
    <t>Mixed PDF</t>
  </si>
  <si>
    <t>C</t>
  </si>
  <si>
    <t>Outdoor — Access Point</t>
  </si>
  <si>
    <t>HTML</t>
  </si>
  <si>
    <t>Approved</t>
  </si>
  <si>
    <t>Wrong Model</t>
  </si>
  <si>
    <t>Desktop — Access Point</t>
  </si>
  <si>
    <t>Rejected</t>
  </si>
  <si>
    <t>choice</t>
  </si>
  <si>
    <t>Switching</t>
  </si>
  <si>
    <t>Extender — Access Point</t>
  </si>
  <si>
    <t>Other AP — Access Point</t>
  </si>
  <si>
    <t>PoE Injector — Accessories</t>
  </si>
  <si>
    <t>Power Supply — Accessories</t>
  </si>
  <si>
    <t>Media Converter — Accessories</t>
  </si>
  <si>
    <t>Optical Module — Accessories</t>
  </si>
  <si>
    <t>DAC Cable — Accessories</t>
  </si>
  <si>
    <t>Mounting Accessory — Accessories</t>
  </si>
  <si>
    <t>Chassis — Accessories</t>
  </si>
  <si>
    <t>Antenna — Accessories</t>
  </si>
  <si>
    <t>Junction Box — Accessories</t>
  </si>
  <si>
    <t>Other Accessory — Accessories</t>
  </si>
  <si>
    <t>Wired Router — Gateway</t>
  </si>
  <si>
    <t>Wireless Router — Gateway</t>
  </si>
  <si>
    <t>Cellular Router — Gateway</t>
  </si>
  <si>
    <t>Outdoor Cellular Router — Gateway</t>
  </si>
  <si>
    <t>Integrated Gateway — Gateway</t>
  </si>
  <si>
    <t>Other Router — Gateway</t>
  </si>
  <si>
    <t>Layer 2 — Managed Switch</t>
  </si>
  <si>
    <t>Layer 2+ — Managed Switch</t>
  </si>
  <si>
    <t>Layer 3 — Managed Switch</t>
  </si>
  <si>
    <t>Unknown Layer — Managed Switch</t>
  </si>
  <si>
    <t>Unmanaged — Unmanaged / Easy Smart Switch</t>
  </si>
  <si>
    <t>Easy Smart — Unmanaged / Easy Smart Switch</t>
  </si>
  <si>
    <t>Unknown Management Type — Unmanaged / Easy Smart 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</si>
</sst>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
    <numFmt numFmtId="177" formatCode="yyyy\-mm\-dd\ hh:mm:ss"/>
    <numFmt numFmtId="178" formatCode="#,##0.0"/>
    <numFmt numFmtId="179" formatCode="0.0%"/>
  </numFmts>
  <fonts count="14">
    <font>
      <sz val="11"/>
      <name val="Carlito"/>
    </font>
    <font>
      <sz val="10"/>
      <color rgb="FF172033"/>
      <name val="Carlito"/>
    </font>
    <font>
      <b/>
      <sz val="18"/>
      <color rgb="FFFFFFFF"/>
      <name val="Aptos"/>
      <family val="2"/>
    </font>
    <font>
      <i/>
      <sz val="10"/>
      <color rgb="FF64748B"/>
      <name val="Aptos"/>
      <family val="2"/>
    </font>
    <font>
      <sz val="11"/>
      <name val="Aptos"/>
      <family val="2"/>
    </font>
    <font>
      <b/>
      <sz val="12"/>
      <color rgb="FF0F766E"/>
      <name val="Aptos"/>
      <family val="2"/>
    </font>
    <font>
      <b/>
      <sz val="11"/>
      <color rgb="FFFFFFFF"/>
      <name val="Aptos"/>
      <family val="2"/>
    </font>
    <font>
      <sz val="10"/>
      <color rgb="FF172033"/>
      <name val="Aptos"/>
      <family val="2"/>
    </font>
    <font>
      <b/>
      <sz val="11"/>
      <name val="Aptos"/>
      <family val="2"/>
    </font>
    <font>
      <b/>
      <sz val="11"/>
      <color rgb="FF172033"/>
      <name val="Aptos"/>
      <family val="2"/>
    </font>
    <font>
      <b/>
      <sz val="12"/>
      <color rgb="FF166534"/>
      <name val="Aptos"/>
      <family val="2"/>
    </font>
    <font>
      <b/>
      <sz val="11"/>
      <color rgb="FF17324D"/>
      <name val="Aptos"/>
      <family val="2"/>
    </font>
    <font>
      <sz val="11"/>
      <name val="Carlito"/>
    </font>
    <font>
      <sz val="9"/>
      <name val="宋体"/>
      <family val="3"/>
      <charset val="134"/>
    </font>
  </fonts>
  <fills count="10">
    <fill>
      <patternFill patternType="none"/>
    </fill>
    <fill>
      <patternFill patternType="gray125"/>
    </fill>
    <fill>
      <patternFill patternType="solid">
        <fgColor rgb="FF17324D"/>
      </patternFill>
    </fill>
    <fill>
      <patternFill patternType="solid">
        <fgColor rgb="FFE8F1FB"/>
      </patternFill>
    </fill>
    <fill>
      <patternFill patternType="solid">
        <fgColor rgb="FFE8F5F2"/>
      </patternFill>
    </fill>
    <fill>
      <patternFill patternType="solid">
        <fgColor rgb="FF0F766E"/>
      </patternFill>
    </fill>
    <fill>
      <patternFill patternType="solid">
        <fgColor rgb="FFEEF2F6"/>
      </patternFill>
    </fill>
    <fill>
      <patternFill patternType="solid">
        <fgColor rgb="FFFFF7D6"/>
      </patternFill>
    </fill>
    <fill>
      <patternFill patternType="solid">
        <fgColor rgb="FFDCFCE7"/>
      </patternFill>
    </fill>
    <fill>
      <patternFill patternType="solid">
        <fgColor rgb="FFFFF7D6"/>
      </patternFill>
    </fill>
  </fills>
  <borders count="9">
    <border>
      <left/>
      <right/>
      <top/>
      <bottom/>
      <diagonal/>
    </border>
    <border>
      <left/>
      <right/>
      <top/>
      <bottom style="thin">
        <color rgb="FF0F766E"/>
      </bottom>
      <diagonal/>
    </border>
    <border>
      <left/>
      <right style="thin">
        <color rgb="FFCBD5E1"/>
      </right>
      <top/>
      <bottom/>
      <diagonal/>
    </border>
    <border>
      <left style="thin">
        <color rgb="FFCBD5E1"/>
      </left>
      <right style="thin">
        <color rgb="FFCBD5E1"/>
      </right>
      <top/>
      <bottom/>
      <diagonal/>
    </border>
    <border>
      <left style="thin">
        <color rgb="FFCBD5E1"/>
      </left>
      <right/>
      <top/>
      <bottom/>
      <diagonal/>
    </border>
    <border>
      <left/>
      <right/>
      <top/>
      <bottom style="thin">
        <color rgb="FFCBD5E1"/>
      </bottom>
      <diagonal/>
    </border>
    <border>
      <left/>
      <right/>
      <top style="thin">
        <color rgb="FFCBD5E1"/>
      </top>
      <bottom style="thin">
        <color rgb="FFCBD5E1"/>
      </bottom>
      <diagonal/>
    </border>
    <border>
      <left style="thin">
        <color rgb="FFCBD5E1"/>
      </left>
      <right style="thin">
        <color rgb="FFCBD5E1"/>
      </right>
      <top style="thin">
        <color rgb="FFCBD5E1"/>
      </top>
      <bottom/>
      <diagonal/>
    </border>
    <border>
      <left style="thin">
        <color rgb="FFCBD5E1"/>
      </left>
      <right style="thin">
        <color rgb="FFCBD5E1"/>
      </right>
      <top/>
      <bottom style="thin">
        <color rgb="FFCBD5E1"/>
      </bottom>
      <diagonal/>
    </border>
  </borders>
  <cellStyleXfs count="2">
    <xf numFmtId="0" fontId="0" fillId="0" borderId="0"/>
    <xf numFmtId="0" fontId="12" fillId="0" borderId="0"/>
  </cellStyleXfs>
  <cellXfs count="44">
    <xf numFmtId="0" fontId="0" fillId="0" borderId="0" xfId="0"/>
    <xf numFmtId="0" fontId="4" fillId="0" borderId="0" xfId="1" applyFont="1"/>
    <xf numFmtId="0" fontId="5" fillId="4" borderId="1" xfId="1" applyFont="1" applyFill="1" applyBorder="1" applyAlignment="1">
      <alignment vertical="center"/>
    </xf>
    <xf numFmtId="0" fontId="6" fillId="5" borderId="2" xfId="1" applyFont="1" applyFill="1" applyBorder="1" applyAlignment="1">
      <alignment vertical="center" wrapText="1"/>
    </xf>
    <xf numFmtId="0" fontId="6" fillId="5" borderId="3" xfId="1" applyFont="1" applyFill="1" applyBorder="1" applyAlignment="1">
      <alignment vertical="center" wrapText="1"/>
    </xf>
    <xf numFmtId="0" fontId="6" fillId="5" borderId="4" xfId="1" applyFont="1" applyFill="1" applyBorder="1" applyAlignment="1">
      <alignment vertical="center" wrapText="1"/>
    </xf>
    <xf numFmtId="0" fontId="4" fillId="0" borderId="0" xfId="1" applyFont="1" applyAlignment="1">
      <alignment wrapText="1"/>
    </xf>
    <xf numFmtId="0" fontId="7" fillId="6" borderId="5" xfId="1" applyFont="1" applyFill="1" applyBorder="1" applyAlignment="1">
      <alignment vertical="top" wrapText="1"/>
    </xf>
    <xf numFmtId="0" fontId="7" fillId="6" borderId="6" xfId="1" applyFont="1" applyFill="1" applyBorder="1" applyAlignment="1">
      <alignment vertical="top" wrapText="1"/>
    </xf>
    <xf numFmtId="0" fontId="8" fillId="0" borderId="0" xfId="1" applyFont="1" applyAlignment="1">
      <alignment wrapText="1"/>
    </xf>
    <xf numFmtId="0" fontId="6" fillId="5" borderId="0" xfId="1" applyFont="1" applyFill="1"/>
    <xf numFmtId="0" fontId="9" fillId="7" borderId="0" xfId="1" applyFont="1" applyFill="1"/>
    <xf numFmtId="179" fontId="10" fillId="8" borderId="7" xfId="1" applyNumberFormat="1" applyFont="1" applyFill="1" applyBorder="1"/>
    <xf numFmtId="179" fontId="10" fillId="8" borderId="3" xfId="1" applyNumberFormat="1" applyFont="1" applyFill="1" applyBorder="1"/>
    <xf numFmtId="179" fontId="7" fillId="6" borderId="6" xfId="1" applyNumberFormat="1" applyFont="1" applyFill="1" applyBorder="1" applyAlignment="1">
      <alignment vertical="top" wrapText="1"/>
    </xf>
    <xf numFmtId="178" fontId="10" fillId="8" borderId="3" xfId="1" applyNumberFormat="1" applyFont="1" applyFill="1" applyBorder="1"/>
    <xf numFmtId="0" fontId="10" fillId="8" borderId="8" xfId="1" applyFont="1" applyFill="1" applyBorder="1"/>
    <xf numFmtId="0" fontId="11" fillId="6" borderId="0" xfId="1" applyFont="1" applyFill="1" applyAlignment="1">
      <alignment wrapText="1"/>
    </xf>
    <xf numFmtId="0" fontId="7" fillId="7" borderId="5" xfId="1" applyFont="1" applyFill="1" applyBorder="1" applyAlignment="1">
      <alignment vertical="top" wrapText="1"/>
    </xf>
    <xf numFmtId="1" fontId="7" fillId="7" borderId="5" xfId="1" applyNumberFormat="1" applyFont="1" applyFill="1" applyBorder="1" applyAlignment="1">
      <alignment vertical="top" wrapText="1"/>
    </xf>
    <xf numFmtId="1" fontId="7" fillId="6" borderId="5" xfId="1" applyNumberFormat="1" applyFont="1" applyFill="1" applyBorder="1" applyAlignment="1">
      <alignment vertical="top" wrapText="1"/>
    </xf>
    <xf numFmtId="0" fontId="7" fillId="7" borderId="6" xfId="1" applyFont="1" applyFill="1" applyBorder="1" applyAlignment="1">
      <alignment vertical="top" wrapText="1"/>
    </xf>
    <xf numFmtId="1" fontId="7" fillId="7" borderId="6" xfId="1" applyNumberFormat="1" applyFont="1" applyFill="1" applyBorder="1" applyAlignment="1">
      <alignment vertical="top" wrapText="1"/>
    </xf>
    <xf numFmtId="1" fontId="7" fillId="6" borderId="6" xfId="1" applyNumberFormat="1" applyFont="1" applyFill="1" applyBorder="1" applyAlignment="1">
      <alignment vertical="top" wrapText="1"/>
    </xf>
    <xf numFmtId="0" fontId="6" fillId="2" borderId="0" xfId="1" applyFont="1" applyFill="1"/>
    <xf numFmtId="176" fontId="7" fillId="7" borderId="5" xfId="1" applyNumberFormat="1" applyFont="1" applyFill="1" applyBorder="1" applyAlignment="1">
      <alignment vertical="top" wrapText="1"/>
    </xf>
    <xf numFmtId="176" fontId="7" fillId="7" borderId="6" xfId="1" applyNumberFormat="1" applyFont="1" applyFill="1" applyBorder="1" applyAlignment="1">
      <alignment vertical="top" wrapText="1"/>
    </xf>
    <xf numFmtId="177" fontId="7" fillId="7" borderId="5" xfId="1" applyNumberFormat="1" applyFont="1" applyFill="1" applyBorder="1" applyAlignment="1">
      <alignment vertical="top" wrapText="1"/>
    </xf>
    <xf numFmtId="178" fontId="7" fillId="6" borderId="5" xfId="1" applyNumberFormat="1" applyFont="1" applyFill="1" applyBorder="1" applyAlignment="1">
      <alignment vertical="top" wrapText="1"/>
    </xf>
    <xf numFmtId="178" fontId="7" fillId="7" borderId="5" xfId="1" applyNumberFormat="1" applyFont="1" applyFill="1" applyBorder="1" applyAlignment="1">
      <alignment vertical="top" wrapText="1"/>
    </xf>
    <xf numFmtId="177" fontId="7" fillId="7" borderId="6" xfId="1" applyNumberFormat="1" applyFont="1" applyFill="1" applyBorder="1" applyAlignment="1">
      <alignment vertical="top" wrapText="1"/>
    </xf>
    <xf numFmtId="178" fontId="7" fillId="6" borderId="6" xfId="1" applyNumberFormat="1" applyFont="1" applyFill="1" applyBorder="1" applyAlignment="1">
      <alignment vertical="top" wrapText="1"/>
    </xf>
    <xf numFmtId="178" fontId="7" fillId="7" borderId="6" xfId="1" applyNumberFormat="1" applyFont="1" applyFill="1" applyBorder="1" applyAlignment="1">
      <alignment vertical="top" wrapText="1"/>
    </xf>
    <xf numFmtId="49" fontId="7" fillId="7" borderId="5" xfId="1" applyNumberFormat="1" applyFont="1" applyFill="1" applyBorder="1" applyAlignment="1">
      <alignment vertical="top" wrapText="1"/>
    </xf>
    <xf numFmtId="49" fontId="7" fillId="7" borderId="6" xfId="1" applyNumberFormat="1" applyFont="1" applyFill="1" applyBorder="1" applyAlignment="1">
      <alignment vertical="top" wrapText="1"/>
    </xf>
    <xf numFmtId="0" fontId="7" fillId="9" borderId="6" xfId="1" applyFont="1" applyFill="1" applyBorder="1" applyAlignment="1">
      <alignment vertical="top" wrapText="1"/>
    </xf>
    <xf numFmtId="49" fontId="7" fillId="9" borderId="6" xfId="1" applyNumberFormat="1" applyFont="1" applyFill="1" applyBorder="1" applyAlignment="1">
      <alignment vertical="top" wrapText="1"/>
    </xf>
    <xf numFmtId="0" fontId="1" fillId="9" borderId="6" xfId="1" applyFont="1" applyFill="1" applyBorder="1" applyAlignment="1">
      <alignment vertical="top" wrapText="1"/>
    </xf>
    <xf numFmtId="49" fontId="1" fillId="9" borderId="6" xfId="1" applyNumberFormat="1" applyFont="1" applyFill="1" applyBorder="1" applyAlignment="1">
      <alignment vertical="top" wrapText="1"/>
    </xf>
    <xf numFmtId="0" fontId="5" fillId="4" borderId="1" xfId="1" applyFont="1" applyFill="1" applyBorder="1" applyAlignment="1">
      <alignment vertical="center"/>
    </xf>
    <xf numFmtId="0" fontId="4" fillId="0" borderId="0" xfId="1" applyFont="1"/>
    <xf numFmtId="0" fontId="2" fillId="2" borderId="0" xfId="1" applyFont="1" applyFill="1" applyAlignment="1">
      <alignment vertical="center"/>
    </xf>
    <xf numFmtId="0" fontId="3" fillId="3" borderId="0" xfId="1" applyFont="1" applyFill="1" applyAlignment="1">
      <alignment vertical="center" wrapText="1"/>
    </xf>
    <xf numFmtId="0" fontId="4" fillId="0" borderId="0" xfId="1" applyFont="1" applyAlignment="1">
      <alignment wrapText="1"/>
    </xf>
  </cellXfs>
  <cellStyles count="2">
    <cellStyle name="Normal" xfId="1" xr:uid="{00000000-0005-0000-0000-000000000000}"/>
    <cellStyle name="常规" xfId="0" builtinId="0"/>
  </cellStyles>
  <dxfs count="6">
    <dxf>
      <font>
        <b/>
        <color rgb="FF991B1B"/>
      </font>
      <fill>
        <patternFill>
          <bgColor rgb="FFFEE2E2"/>
        </patternFill>
      </fill>
    </dxf>
    <dxf>
      <font>
        <b/>
        <color rgb="FF166534"/>
      </font>
      <fill>
        <patternFill>
          <bgColor rgb="FFDCFCE7"/>
        </patternFill>
      </fill>
    </dxf>
    <dxf>
      <font>
        <b/>
      </font>
    </dxf>
    <dxf>
      <font>
        <b/>
        <color rgb="FF166534"/>
      </font>
      <fill>
        <patternFill>
          <bgColor rgb="FFDCFCE7"/>
        </patternFill>
      </fill>
    </dxf>
    <dxf>
      <font>
        <color rgb="FF166534"/>
      </font>
      <fill>
        <patternFill>
          <bgColor rgb="FFDCFCE7"/>
        </patternFill>
      </fill>
    </dxf>
    <dxf>
      <font>
        <b/>
        <color rgb="FF991B1B"/>
      </font>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amplingPlanTable" displayName="SamplingPlanTable" ref="A4:G34" totalsRowShown="0">
  <autoFilter ref="A4:G34" xr:uid="{00000000-0009-0000-0100-000002000000}"/>
  <tableColumns count="7">
    <tableColumn id="1" xr3:uid="{00000000-0010-0000-0000-000001000000}" name="Category"/>
    <tableColumn id="2" xr3:uid="{00000000-0010-0000-0000-000002000000}" name="Product Type Code"/>
    <tableColumn id="3" xr3:uid="{00000000-0010-0000-0000-000003000000}" name="Product Type"/>
    <tableColumn id="4" xr3:uid="{00000000-0010-0000-0000-000004000000}" name="Target"/>
    <tableColumn id="5" xr3:uid="{00000000-0010-0000-0000-000005000000}" name="Actual"/>
    <tableColumn id="6" xr3:uid="{00000000-0010-0000-0000-000006000000}" name="Gap"/>
    <tableColumn id="7" xr3:uid="{00000000-0010-0000-0000-000007000000}" name="Selection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estCasesTable" displayName="TestCasesTable" ref="A5:U55" totalsRowShown="0">
  <autoFilter ref="A5:U55" xr:uid="{00000000-0009-0000-0100-000003000000}"/>
  <tableColumns count="21">
    <tableColumn id="1" xr3:uid="{00000000-0010-0000-0100-000001000000}" name="Case_ID"/>
    <tableColumn id="2" xr3:uid="{00000000-0010-0000-0100-000002000000}" name="Brand"/>
    <tableColumn id="3" xr3:uid="{00000000-0010-0000-0100-000003000000}" name="Target_Model"/>
    <tableColumn id="4" xr3:uid="{00000000-0010-0000-0100-000004000000}" name="Category"/>
    <tableColumn id="5" xr3:uid="{00000000-0010-0000-0100-000005000000}" name="Product_Type_Code"/>
    <tableColumn id="6" xr3:uid="{00000000-0010-0000-0100-000006000000}" name="Region"/>
    <tableColumn id="7" xr3:uid="{00000000-0010-0000-0100-000007000000}" name="Language"/>
    <tableColumn id="8" xr3:uid="{00000000-0010-0000-0100-000008000000}" name="Document_URL_or_Path"/>
    <tableColumn id="9" xr3:uid="{00000000-0010-0000-0100-000009000000}" name="SHA256"/>
    <tableColumn id="10" xr3:uid="{00000000-0010-0000-0100-00000A000000}" name="Document_Kind"/>
    <tableColumn id="11" xr3:uid="{00000000-0010-0000-0100-00000B000000}" name="Page_Count"/>
    <tableColumn id="12" xr3:uid="{00000000-0010-0000-0100-00000C000000}" name="Layout_Complexity"/>
    <tableColumn id="13" xr3:uid="{00000000-0010-0000-0100-00000D000000}" name="Has_Tables"/>
    <tableColumn id="14" xr3:uid="{00000000-0010-0000-0100-00000E000000}" name="Has_Charts"/>
    <tableColumn id="15" xr3:uid="{00000000-0010-0000-0100-00000F000000}" name="Similar_Models_Present"/>
    <tableColumn id="16" xr3:uid="{00000000-0010-0000-0100-000010000000}" name="Expected_Model_Match"/>
    <tableColumn id="17" xr3:uid="{00000000-0010-0000-0100-000011000000}" name="Confusing_Model"/>
    <tableColumn id="18" xr3:uid="{00000000-0010-0000-0100-000012000000}" name="Annotation_Status"/>
    <tableColumn id="19" xr3:uid="{00000000-0010-0000-0100-000013000000}" name="Annotator"/>
    <tableColumn id="20" xr3:uid="{00000000-0010-0000-0100-000014000000}" name="Reviewer"/>
    <tableColumn id="21" xr3:uid="{00000000-0010-0000-0100-000015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GroundTruthTable" displayName="GroundTruthTable" ref="A5:Q386" totalsRowShown="0">
  <autoFilter ref="A5:Q386" xr:uid="{00000000-0009-0000-0100-000004000000}"/>
  <tableColumns count="17">
    <tableColumn id="1" xr3:uid="{00000000-0010-0000-0200-000001000000}" name="GT_ID"/>
    <tableColumn id="2" xr3:uid="{00000000-0010-0000-0200-000002000000}" name="Case_ID"/>
    <tableColumn id="3" xr3:uid="{00000000-0010-0000-0200-000003000000}" name="Spec_Code"/>
    <tableColumn id="4" xr3:uid="{00000000-0010-0000-0200-000004000000}" name="Value_Status"/>
    <tableColumn id="5" xr3:uid="{00000000-0010-0000-0200-000005000000}" name="Expected_Normalized_Value"/>
    <tableColumn id="6" xr3:uid="{00000000-0010-0000-0200-000006000000}" name="Value_Type"/>
    <tableColumn id="7" xr3:uid="{00000000-0010-0000-0200-000007000000}" name="Unit"/>
    <tableColumn id="8" xr3:uid="{00000000-0010-0000-0200-000008000000}" name="Expected_Raw_Value"/>
    <tableColumn id="9" xr3:uid="{00000000-0010-0000-0200-000009000000}" name="Page"/>
    <tableColumn id="10" xr3:uid="{00000000-0010-0000-0200-00000A000000}" name="Evidence_Excerpt"/>
    <tableColumn id="11" xr3:uid="{00000000-0010-0000-0200-00000B000000}" name="Scope"/>
    <tableColumn id="12" xr3:uid="{00000000-0010-0000-0200-00000C000000}" name="Evidence_Grade"/>
    <tableColumn id="13" xr3:uid="{00000000-0010-0000-0200-00000D000000}" name="Required_Field"/>
    <tableColumn id="14" xr3:uid="{00000000-0010-0000-0200-00000E000000}" name="Annotator"/>
    <tableColumn id="15" xr3:uid="{00000000-0010-0000-0200-00000F000000}" name="Reviewer"/>
    <tableColumn id="16" xr3:uid="{00000000-0010-0000-0200-000010000000}" name="Review_Status"/>
    <tableColumn id="17" xr3:uid="{00000000-0010-0000-0200-000011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ModelEvaluationTable" displayName="ModelEvaluationTable" ref="A5:K55" totalsRowShown="0">
  <autoFilter ref="A5:K55" xr:uid="{00000000-0009-0000-0100-000005000000}"/>
  <tableColumns count="11">
    <tableColumn id="1" xr3:uid="{00000000-0010-0000-0300-000001000000}" name="Run_ID"/>
    <tableColumn id="2" xr3:uid="{00000000-0010-0000-0300-000002000000}" name="Case_ID"/>
    <tableColumn id="3" xr3:uid="{00000000-0010-0000-0300-000003000000}" name="Expected_Match"/>
    <tableColumn id="4" xr3:uid="{00000000-0010-0000-0300-000004000000}" name="Target_Model"/>
    <tableColumn id="5" xr3:uid="{00000000-0010-0000-0300-000005000000}" name="Predicted_Match"/>
    <tableColumn id="6" xr3:uid="{00000000-0010-0000-0300-000006000000}" name="Predicted_Model"/>
    <tableColumn id="7" xr3:uid="{00000000-0010-0000-0300-000007000000}" name="Evidence_Page"/>
    <tableColumn id="8" xr3:uid="{00000000-0010-0000-0300-000008000000}" name="Evidence_Excerpt"/>
    <tableColumn id="9" xr3:uid="{00000000-0010-0000-0300-000009000000}" name="Verdict"/>
    <tableColumn id="10" xr3:uid="{00000000-0010-0000-0300-00000A000000}" name="Algorithm_Version"/>
    <tableColumn id="11" xr3:uid="{00000000-0010-0000-0300-00000B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SpecEvaluationTable" displayName="SpecEvaluationTable" ref="A5:O105" totalsRowShown="0">
  <autoFilter ref="A5:O105" xr:uid="{00000000-0009-0000-0100-000006000000}"/>
  <tableColumns count="15">
    <tableColumn id="1" xr3:uid="{00000000-0010-0000-0400-000001000000}" name="Run_ID"/>
    <tableColumn id="2" xr3:uid="{00000000-0010-0000-0400-000002000000}" name="Case_ID"/>
    <tableColumn id="3" xr3:uid="{00000000-0010-0000-0400-000003000000}" name="GT_ID"/>
    <tableColumn id="4" xr3:uid="{00000000-0010-0000-0400-000004000000}" name="Spec_Code"/>
    <tableColumn id="5" xr3:uid="{00000000-0010-0000-0400-000005000000}" name="Expected_Normalized"/>
    <tableColumn id="6" xr3:uid="{00000000-0010-0000-0400-000006000000}" name="Expected_Status"/>
    <tableColumn id="7" xr3:uid="{00000000-0010-0000-0400-000007000000}" name="Predicted_Normalized"/>
    <tableColumn id="8" xr3:uid="{00000000-0010-0000-0400-000008000000}" name="Predicted_Status"/>
    <tableColumn id="9" xr3:uid="{00000000-0010-0000-0400-000009000000}" name="System_Confidence"/>
    <tableColumn id="10" xr3:uid="{00000000-0010-0000-0400-00000A000000}" name="Evidence_Page"/>
    <tableColumn id="11" xr3:uid="{00000000-0010-0000-0400-00000B000000}" name="Evidence_Excerpt"/>
    <tableColumn id="12" xr3:uid="{00000000-0010-0000-0400-00000C000000}" name="Evidence_Correct"/>
    <tableColumn id="13" xr3:uid="{00000000-0010-0000-0400-00000D000000}" name="Value_Verdict"/>
    <tableColumn id="14" xr3:uid="{00000000-0010-0000-0400-00000E000000}" name="Error_Type"/>
    <tableColumn id="15" xr3:uid="{00000000-0010-0000-0400-00000F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RunRecordsTable" displayName="RunRecordsTable" ref="A5:O55" totalsRowShown="0">
  <autoFilter ref="A5:O55" xr:uid="{00000000-0009-0000-0100-000007000000}"/>
  <tableColumns count="15">
    <tableColumn id="1" xr3:uid="{00000000-0010-0000-0500-000001000000}" name="Run_ID"/>
    <tableColumn id="2" xr3:uid="{00000000-0010-0000-0500-000002000000}" name="Algorithm_Version"/>
    <tableColumn id="3" xr3:uid="{00000000-0010-0000-0500-000003000000}" name="Case_ID"/>
    <tableColumn id="4" xr3:uid="{00000000-0010-0000-0500-000004000000}" name="Started_At"/>
    <tableColumn id="5" xr3:uid="{00000000-0010-0000-0500-000005000000}" name="Completed_At"/>
    <tableColumn id="6" xr3:uid="{00000000-0010-0000-0500-000006000000}" name="Total_Seconds"/>
    <tableColumn id="7" xr3:uid="{00000000-0010-0000-0500-000007000000}" name="Parse_Seconds"/>
    <tableColumn id="8" xr3:uid="{00000000-0010-0000-0500-000008000000}" name="AI_Seconds"/>
    <tableColumn id="9" xr3:uid="{00000000-0010-0000-0500-000009000000}" name="Peak_RAM_MB"/>
    <tableColumn id="10" xr3:uid="{00000000-0010-0000-0500-00000A000000}" name="Input_Tokens"/>
    <tableColumn id="11" xr3:uid="{00000000-0010-0000-0500-00000B000000}" name="Output_Tokens"/>
    <tableColumn id="12" xr3:uid="{00000000-0010-0000-0500-00000C000000}" name="Predicted_Spec_Count"/>
    <tableColumn id="13" xr3:uid="{00000000-0010-0000-0500-00000D000000}" name="Accepted_Spec_Count"/>
    <tableColumn id="14" xr3:uid="{00000000-0010-0000-0500-00000E000000}" name="Run_Status"/>
    <tableColumn id="15" xr3:uid="{00000000-0010-0000-0500-00000F000000}" name="Error_Messag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SpecDictionaryTable" displayName="SpecDictionaryTable" ref="A4:J142" totalsRowShown="0">
  <autoFilter ref="A4:J142" xr:uid="{00000000-0009-0000-0100-000008000000}"/>
  <tableColumns count="10">
    <tableColumn id="1" xr3:uid="{00000000-0010-0000-0600-000001000000}" name="Category"/>
    <tableColumn id="2" xr3:uid="{00000000-0010-0000-0600-000002000000}" name="Spec_Code"/>
    <tableColumn id="3" xr3:uid="{00000000-0010-0000-0600-000003000000}" name="Display_Name"/>
    <tableColumn id="4" xr3:uid="{00000000-0010-0000-0600-000004000000}" name="Group"/>
    <tableColumn id="5" xr3:uid="{00000000-0010-0000-0600-000005000000}" name="Data_Type"/>
    <tableColumn id="6" xr3:uid="{00000000-0010-0000-0600-000006000000}" name="Unit"/>
    <tableColumn id="7" xr3:uid="{00000000-0010-0000-0600-000007000000}" name="Core"/>
    <tableColumn id="8" xr3:uid="{00000000-0010-0000-0600-000008000000}" name="Applicable_Form_Factors"/>
    <tableColumn id="9" xr3:uid="{00000000-0010-0000-0600-000009000000}" name="Template_Priority"/>
    <tableColumn id="10" xr3:uid="{00000000-0010-0000-0600-00000A000000}" name="Required_In_Any_Templat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7000000}" name="EnumOptionsTable" displayName="EnumOptionsTable" ref="A4:K34" totalsRowShown="0">
  <autoFilter ref="A4:K34" xr:uid="{00000000-0009-0000-0100-000001000000}"/>
  <tableColumns count="11">
    <tableColumn id="1" xr3:uid="{00000000-0010-0000-0700-000001000000}" name="Category"/>
    <tableColumn id="2" xr3:uid="{00000000-0010-0000-0700-000002000000}" name="Product Type Code"/>
    <tableColumn id="3" xr3:uid="{00000000-0010-0000-0700-000003000000}" name="Product Type Name"/>
    <tableColumn id="4" xr3:uid="{00000000-0010-0000-0700-000004000000}" name="Document Kind"/>
    <tableColumn id="5" xr3:uid="{00000000-0010-0000-0700-000005000000}" name="Complexity"/>
    <tableColumn id="6" xr3:uid="{00000000-0010-0000-0700-000006000000}" name="Yes/No"/>
    <tableColumn id="7" xr3:uid="{00000000-0010-0000-0700-000007000000}" name="Review Status"/>
    <tableColumn id="8" xr3:uid="{00000000-0010-0000-0700-000008000000}" name="Value Status"/>
    <tableColumn id="9" xr3:uid="{00000000-0010-0000-0700-000009000000}" name="Value Type"/>
    <tableColumn id="10" xr3:uid="{00000000-0010-0000-0700-00000A000000}" name="Evidence Grade"/>
    <tableColumn id="11" xr3:uid="{00000000-0010-0000-0700-00000B000000}" name="Model Verdic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showGridLines="0" workbookViewId="0">
      <selection sqref="A1:H1"/>
    </sheetView>
  </sheetViews>
  <sheetFormatPr defaultRowHeight="14"/>
  <cols>
    <col min="1" max="1" width="16" customWidth="1"/>
    <col min="2" max="2" width="19" customWidth="1"/>
    <col min="3" max="3" width="62" customWidth="1"/>
    <col min="4" max="4" width="30" customWidth="1"/>
    <col min="5" max="8" width="3" customWidth="1"/>
  </cols>
  <sheetData>
    <row r="1" spans="1:8" ht="34" customHeight="1">
      <c r="A1" s="41" t="s">
        <v>0</v>
      </c>
      <c r="B1" s="41"/>
      <c r="C1" s="41"/>
      <c r="D1" s="41"/>
      <c r="E1" s="41"/>
      <c r="F1" s="41"/>
      <c r="G1" s="41"/>
      <c r="H1" s="41"/>
    </row>
    <row r="2" spans="1:8" ht="28" customHeight="1">
      <c r="A2" s="42" t="s">
        <v>1</v>
      </c>
      <c r="B2" s="42"/>
      <c r="C2" s="42"/>
      <c r="D2" s="42"/>
      <c r="E2" s="42"/>
      <c r="F2" s="42"/>
      <c r="G2" s="42"/>
      <c r="H2" s="42"/>
    </row>
    <row r="3" spans="1:8" ht="14.5">
      <c r="A3" s="1"/>
      <c r="B3" s="1"/>
      <c r="C3" s="1"/>
      <c r="D3" s="1"/>
      <c r="E3" s="1"/>
      <c r="F3" s="1"/>
      <c r="G3" s="1"/>
      <c r="H3" s="1"/>
    </row>
    <row r="4" spans="1:8" ht="24" customHeight="1">
      <c r="A4" s="39" t="s">
        <v>2</v>
      </c>
      <c r="B4" s="39"/>
      <c r="C4" s="39"/>
      <c r="D4" s="39"/>
      <c r="E4" s="39"/>
      <c r="F4" s="39"/>
      <c r="G4" s="39"/>
      <c r="H4" s="39"/>
    </row>
    <row r="5" spans="1:8" ht="32" customHeight="1">
      <c r="A5" s="3" t="s">
        <v>3</v>
      </c>
      <c r="B5" s="4" t="s">
        <v>4</v>
      </c>
      <c r="C5" s="4" t="s">
        <v>5</v>
      </c>
      <c r="D5" s="5" t="s">
        <v>6</v>
      </c>
      <c r="E5" s="40"/>
      <c r="F5" s="40"/>
      <c r="G5" s="40"/>
      <c r="H5" s="40"/>
    </row>
    <row r="6" spans="1:8" ht="44" customHeight="1">
      <c r="A6" s="6">
        <v>1</v>
      </c>
      <c r="B6" s="6" t="s">
        <v>7</v>
      </c>
      <c r="C6" s="6" t="s">
        <v>8</v>
      </c>
      <c r="D6" s="6" t="s">
        <v>9</v>
      </c>
      <c r="E6" s="40"/>
      <c r="F6" s="40"/>
      <c r="G6" s="40"/>
      <c r="H6" s="40"/>
    </row>
    <row r="7" spans="1:8" ht="44" customHeight="1">
      <c r="A7" s="6">
        <v>2</v>
      </c>
      <c r="B7" s="6" t="s">
        <v>10</v>
      </c>
      <c r="C7" s="6" t="s">
        <v>11</v>
      </c>
      <c r="D7" s="6" t="s">
        <v>12</v>
      </c>
      <c r="E7" s="40"/>
      <c r="F7" s="40"/>
      <c r="G7" s="40"/>
      <c r="H7" s="40"/>
    </row>
    <row r="8" spans="1:8" ht="44" customHeight="1">
      <c r="A8" s="6">
        <v>3</v>
      </c>
      <c r="B8" s="6" t="s">
        <v>13</v>
      </c>
      <c r="C8" s="6" t="s">
        <v>14</v>
      </c>
      <c r="D8" s="6" t="s">
        <v>15</v>
      </c>
      <c r="E8" s="40"/>
      <c r="F8" s="40"/>
      <c r="G8" s="40"/>
      <c r="H8" s="40"/>
    </row>
    <row r="9" spans="1:8" ht="44" customHeight="1">
      <c r="A9" s="6">
        <v>4</v>
      </c>
      <c r="B9" s="6" t="s">
        <v>16</v>
      </c>
      <c r="C9" s="6" t="s">
        <v>17</v>
      </c>
      <c r="D9" s="6" t="s">
        <v>18</v>
      </c>
      <c r="E9" s="40"/>
      <c r="F9" s="40"/>
      <c r="G9" s="40"/>
      <c r="H9" s="40"/>
    </row>
    <row r="10" spans="1:8" ht="44" customHeight="1">
      <c r="A10" s="6">
        <v>5</v>
      </c>
      <c r="B10" s="6" t="s">
        <v>19</v>
      </c>
      <c r="C10" s="6" t="s">
        <v>20</v>
      </c>
      <c r="D10" s="6" t="s">
        <v>21</v>
      </c>
      <c r="E10" s="40"/>
      <c r="F10" s="40"/>
      <c r="G10" s="40"/>
      <c r="H10" s="40"/>
    </row>
    <row r="11" spans="1:8" ht="44" customHeight="1">
      <c r="A11" s="6">
        <v>6</v>
      </c>
      <c r="B11" s="6" t="s">
        <v>22</v>
      </c>
      <c r="C11" s="6" t="s">
        <v>23</v>
      </c>
      <c r="D11" s="6" t="s">
        <v>24</v>
      </c>
      <c r="E11" s="40"/>
      <c r="F11" s="40"/>
      <c r="G11" s="40"/>
      <c r="H11" s="40"/>
    </row>
    <row r="12" spans="1:8" ht="24" customHeight="1">
      <c r="A12" s="39" t="s">
        <v>25</v>
      </c>
      <c r="B12" s="39"/>
      <c r="C12" s="39"/>
      <c r="D12" s="39"/>
      <c r="E12" s="39"/>
      <c r="F12" s="39"/>
      <c r="G12" s="39"/>
      <c r="H12" s="39"/>
    </row>
    <row r="13" spans="1:8" ht="32" customHeight="1">
      <c r="A13" s="3" t="s">
        <v>26</v>
      </c>
      <c r="B13" s="4" t="s">
        <v>27</v>
      </c>
      <c r="C13" s="4" t="s">
        <v>28</v>
      </c>
      <c r="D13" s="5" t="s">
        <v>29</v>
      </c>
      <c r="E13" s="1"/>
      <c r="F13" s="1"/>
      <c r="G13" s="1"/>
      <c r="H13" s="1"/>
    </row>
    <row r="14" spans="1:8" ht="38" customHeight="1">
      <c r="A14" s="7" t="s">
        <v>30</v>
      </c>
      <c r="B14" s="7" t="s">
        <v>31</v>
      </c>
      <c r="C14" s="7" t="s">
        <v>32</v>
      </c>
      <c r="D14" s="7" t="s">
        <v>33</v>
      </c>
      <c r="E14" s="1"/>
      <c r="F14" s="1"/>
      <c r="G14" s="1"/>
      <c r="H14" s="1"/>
    </row>
    <row r="15" spans="1:8" ht="38" customHeight="1">
      <c r="A15" s="8" t="s">
        <v>34</v>
      </c>
      <c r="B15" s="8" t="s">
        <v>35</v>
      </c>
      <c r="C15" s="8" t="s">
        <v>36</v>
      </c>
      <c r="D15" s="8" t="s">
        <v>37</v>
      </c>
      <c r="E15" s="1"/>
      <c r="F15" s="1"/>
      <c r="G15" s="1"/>
      <c r="H15" s="1"/>
    </row>
    <row r="16" spans="1:8" ht="38" customHeight="1">
      <c r="A16" s="8" t="s">
        <v>38</v>
      </c>
      <c r="B16" s="8" t="s">
        <v>39</v>
      </c>
      <c r="C16" s="8" t="s">
        <v>40</v>
      </c>
      <c r="D16" s="8" t="s">
        <v>41</v>
      </c>
      <c r="E16" s="1"/>
      <c r="F16" s="1"/>
      <c r="G16" s="1"/>
      <c r="H16" s="1"/>
    </row>
    <row r="17" spans="1:8" ht="38" customHeight="1">
      <c r="A17" s="8" t="s">
        <v>42</v>
      </c>
      <c r="B17" s="8" t="s">
        <v>43</v>
      </c>
      <c r="C17" s="8" t="s">
        <v>44</v>
      </c>
      <c r="D17" s="8" t="s">
        <v>45</v>
      </c>
      <c r="E17" s="1"/>
      <c r="F17" s="1"/>
      <c r="G17" s="1"/>
      <c r="H17" s="1"/>
    </row>
    <row r="18" spans="1:8" ht="38" customHeight="1">
      <c r="A18" s="8" t="s">
        <v>46</v>
      </c>
      <c r="B18" s="8" t="s">
        <v>47</v>
      </c>
      <c r="C18" s="8" t="s">
        <v>48</v>
      </c>
      <c r="D18" s="8" t="s">
        <v>49</v>
      </c>
      <c r="E18" s="1"/>
      <c r="F18" s="1"/>
      <c r="G18" s="1"/>
      <c r="H18" s="1"/>
    </row>
    <row r="19" spans="1:8" ht="38" customHeight="1">
      <c r="A19" s="8" t="s">
        <v>50</v>
      </c>
      <c r="B19" s="8" t="s">
        <v>51</v>
      </c>
      <c r="C19" s="8" t="s">
        <v>52</v>
      </c>
      <c r="D19" s="8" t="s">
        <v>53</v>
      </c>
      <c r="E19" s="1"/>
      <c r="F19" s="1"/>
      <c r="G19" s="1"/>
      <c r="H19" s="1"/>
    </row>
    <row r="20" spans="1:8" ht="14.5">
      <c r="A20" s="1"/>
      <c r="B20" s="1"/>
      <c r="C20" s="1"/>
      <c r="D20" s="1"/>
      <c r="E20" s="1"/>
      <c r="F20" s="1"/>
      <c r="G20" s="1"/>
      <c r="H20" s="1"/>
    </row>
    <row r="21" spans="1:8" ht="24" customHeight="1">
      <c r="A21" s="39" t="s">
        <v>54</v>
      </c>
      <c r="B21" s="39"/>
      <c r="C21" s="39"/>
      <c r="D21" s="39"/>
      <c r="E21" s="39"/>
      <c r="F21" s="39"/>
      <c r="G21" s="39"/>
      <c r="H21" s="39"/>
    </row>
    <row r="22" spans="1:8" ht="28" customHeight="1">
      <c r="A22" s="9" t="s">
        <v>55</v>
      </c>
      <c r="B22" s="6" t="s">
        <v>56</v>
      </c>
      <c r="C22" s="6" t="s">
        <v>57</v>
      </c>
      <c r="D22" s="1"/>
      <c r="E22" s="1"/>
      <c r="F22" s="1"/>
      <c r="G22" s="1"/>
      <c r="H22" s="1"/>
    </row>
    <row r="23" spans="1:8" ht="28" customHeight="1">
      <c r="A23" s="9" t="s">
        <v>58</v>
      </c>
      <c r="B23" s="6" t="s">
        <v>59</v>
      </c>
      <c r="C23" s="6" t="s">
        <v>60</v>
      </c>
      <c r="D23" s="1"/>
      <c r="E23" s="1"/>
      <c r="F23" s="1"/>
      <c r="G23" s="1"/>
      <c r="H23" s="1"/>
    </row>
    <row r="24" spans="1:8" ht="28" customHeight="1">
      <c r="A24" s="9" t="s">
        <v>61</v>
      </c>
      <c r="B24" s="6" t="s">
        <v>62</v>
      </c>
      <c r="C24" s="6" t="s">
        <v>63</v>
      </c>
      <c r="D24" s="1"/>
      <c r="E24" s="1"/>
      <c r="F24" s="1"/>
      <c r="G24" s="1"/>
      <c r="H24" s="1"/>
    </row>
    <row r="25" spans="1:8" ht="28" customHeight="1">
      <c r="A25" s="9" t="s">
        <v>64</v>
      </c>
      <c r="B25" s="6" t="s">
        <v>65</v>
      </c>
      <c r="C25" s="6" t="s">
        <v>66</v>
      </c>
      <c r="D25" s="1"/>
      <c r="E25" s="1"/>
      <c r="F25" s="1"/>
      <c r="G25" s="1"/>
      <c r="H25" s="1"/>
    </row>
    <row r="26" spans="1:8" ht="28" customHeight="1">
      <c r="A26" s="9" t="s">
        <v>67</v>
      </c>
      <c r="B26" s="6" t="s">
        <v>68</v>
      </c>
      <c r="C26" s="6" t="s">
        <v>69</v>
      </c>
      <c r="D26" s="1"/>
      <c r="E26" s="1"/>
      <c r="F26" s="1"/>
      <c r="G26" s="1"/>
      <c r="H26" s="1"/>
    </row>
    <row r="27" spans="1:8" ht="28" customHeight="1">
      <c r="A27" s="9" t="s">
        <v>70</v>
      </c>
      <c r="B27" s="6" t="s">
        <v>71</v>
      </c>
      <c r="C27" s="6" t="s">
        <v>72</v>
      </c>
      <c r="D27" s="1"/>
      <c r="E27" s="1"/>
      <c r="F27" s="1"/>
      <c r="G27" s="1"/>
      <c r="H27" s="1"/>
    </row>
  </sheetData>
  <mergeCells count="12">
    <mergeCell ref="A1:H1"/>
    <mergeCell ref="A2:H2"/>
    <mergeCell ref="A4:H4"/>
    <mergeCell ref="E5:H5"/>
    <mergeCell ref="E6:H6"/>
    <mergeCell ref="A12:H12"/>
    <mergeCell ref="A21:H21"/>
    <mergeCell ref="E7:H7"/>
    <mergeCell ref="E8:H8"/>
    <mergeCell ref="E9:H9"/>
    <mergeCell ref="E10:H10"/>
    <mergeCell ref="E11:H11"/>
  </mergeCells>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showGridLines="0" workbookViewId="0"/>
  </sheetViews>
  <sheetFormatPr defaultRowHeight="14"/>
  <cols>
    <col min="1" max="1" width="24" customWidth="1"/>
    <col min="2" max="2" width="18" customWidth="1"/>
    <col min="3" max="3" width="4" customWidth="1"/>
    <col min="4" max="4" width="28" customWidth="1"/>
    <col min="5" max="5" width="22" customWidth="1"/>
    <col min="6" max="8" width="4" customWidth="1"/>
  </cols>
  <sheetData>
    <row r="1" spans="1:8" ht="34" customHeight="1">
      <c r="A1" s="41" t="s">
        <v>73</v>
      </c>
      <c r="B1" s="41"/>
      <c r="C1" s="41"/>
      <c r="D1" s="41"/>
      <c r="E1" s="41"/>
      <c r="F1" s="41"/>
      <c r="G1" s="41"/>
      <c r="H1" s="41"/>
    </row>
    <row r="2" spans="1:8" ht="28" customHeight="1">
      <c r="A2" s="42" t="s">
        <v>74</v>
      </c>
      <c r="B2" s="42"/>
      <c r="C2" s="42"/>
      <c r="D2" s="42"/>
      <c r="E2" s="42"/>
      <c r="F2" s="42"/>
      <c r="G2" s="42"/>
      <c r="H2" s="42"/>
    </row>
    <row r="3" spans="1:8" ht="14.5">
      <c r="A3" s="10" t="s">
        <v>75</v>
      </c>
      <c r="B3" s="11"/>
      <c r="C3" s="1"/>
      <c r="D3" s="1"/>
      <c r="E3" s="1"/>
      <c r="F3" s="1"/>
      <c r="G3" s="1"/>
      <c r="H3" s="1"/>
    </row>
    <row r="4" spans="1:8" ht="14.5">
      <c r="A4" s="1"/>
      <c r="B4" s="1"/>
      <c r="C4" s="1"/>
      <c r="D4" s="1"/>
      <c r="E4" s="1"/>
      <c r="F4" s="1"/>
      <c r="G4" s="1"/>
      <c r="H4" s="1"/>
    </row>
    <row r="5" spans="1:8" ht="24" customHeight="1">
      <c r="A5" s="39" t="s">
        <v>76</v>
      </c>
      <c r="B5" s="39"/>
      <c r="C5" s="39"/>
      <c r="D5" s="39" t="s">
        <v>77</v>
      </c>
      <c r="E5" s="2"/>
      <c r="F5" s="2"/>
      <c r="G5" s="2"/>
      <c r="H5" s="2"/>
    </row>
    <row r="6" spans="1:8" ht="32" customHeight="1">
      <c r="A6" s="3" t="s">
        <v>78</v>
      </c>
      <c r="B6" s="5" t="s">
        <v>79</v>
      </c>
      <c r="C6" s="1"/>
      <c r="D6" s="3" t="s">
        <v>80</v>
      </c>
      <c r="E6" s="5" t="s">
        <v>79</v>
      </c>
      <c r="F6" s="1"/>
      <c r="G6" s="1"/>
      <c r="H6" s="1"/>
    </row>
    <row r="7" spans="1:8" ht="16">
      <c r="A7" s="7" t="s">
        <v>81</v>
      </c>
      <c r="B7" s="7">
        <f>COUNTIF(型号评测!$A$6:$A$55,$B$3)</f>
        <v>0</v>
      </c>
      <c r="C7" s="1"/>
      <c r="D7" s="7" t="s">
        <v>82</v>
      </c>
      <c r="E7" s="12">
        <f>IFERROR($B$13/($B$13+$B$14+$B$16),0)</f>
        <v>0</v>
      </c>
      <c r="F7" s="1"/>
      <c r="G7" s="1"/>
      <c r="H7" s="1"/>
    </row>
    <row r="8" spans="1:8" ht="16">
      <c r="A8" s="8" t="s">
        <v>83</v>
      </c>
      <c r="B8" s="8">
        <f>COUNTIFS(型号评测!$A$6:$A$55,$B$3,型号评测!$I$6:$I$55,"Correct")</f>
        <v>0</v>
      </c>
      <c r="C8" s="1"/>
      <c r="D8" s="8" t="s">
        <v>84</v>
      </c>
      <c r="E8" s="13">
        <f>IFERROR($B$13/($B$13+$B$15+$B$16),0)</f>
        <v>0</v>
      </c>
      <c r="F8" s="1"/>
      <c r="G8" s="1"/>
      <c r="H8" s="1"/>
    </row>
    <row r="9" spans="1:8" ht="16">
      <c r="A9" s="8" t="s">
        <v>85</v>
      </c>
      <c r="B9" s="14">
        <f>IFERROR(B8/B7,0)</f>
        <v>0</v>
      </c>
      <c r="C9" s="1"/>
      <c r="D9" s="8" t="s">
        <v>86</v>
      </c>
      <c r="E9" s="13">
        <f>IFERROR(2*E7*E8/(E7+E8),0)</f>
        <v>0</v>
      </c>
      <c r="F9" s="1"/>
      <c r="G9" s="1"/>
      <c r="H9" s="1"/>
    </row>
    <row r="10" spans="1:8" ht="16">
      <c r="A10" s="8" t="s">
        <v>87</v>
      </c>
      <c r="B10" s="8">
        <f>COUNTIFS(型号评测!$A$6:$A$55,$B$3,型号评测!$I$6:$I$55,"False Accept")</f>
        <v>0</v>
      </c>
      <c r="C10" s="1"/>
      <c r="D10" s="8" t="s">
        <v>88</v>
      </c>
      <c r="E10" s="13">
        <f>IFERROR(COUNTIFS(规格评测!$A$6:$A$105,$B$3,规格评测!$L$6:$L$105,"Yes")/COUNTIFS(规格评测!$A$6:$A$105,$B$3,规格评测!$L$6:$L$105,"&lt;&gt;"),0)</f>
        <v>0</v>
      </c>
      <c r="F10" s="1"/>
      <c r="G10" s="1"/>
      <c r="H10" s="1"/>
    </row>
    <row r="11" spans="1:8" ht="16">
      <c r="A11" s="8" t="s">
        <v>89</v>
      </c>
      <c r="B11" s="8">
        <f>COUNTIFS(型号评测!$A$6:$A$55,$B$3,型号评测!$I$6:$I$55,"False Reject")</f>
        <v>0</v>
      </c>
      <c r="C11" s="1"/>
      <c r="D11" s="8" t="s">
        <v>90</v>
      </c>
      <c r="E11" s="15">
        <f>IFERROR(AVERAGEIF(运行记录!$A$6:$A$55,$B$3,运行记录!$F$6:$F$55),0)</f>
        <v>0</v>
      </c>
      <c r="F11" s="1"/>
      <c r="G11" s="1"/>
      <c r="H11" s="1"/>
    </row>
    <row r="12" spans="1:8" ht="16">
      <c r="A12" s="8" t="s">
        <v>91</v>
      </c>
      <c r="B12" s="8">
        <f>COUNTIFS(规格评测!$A$6:$A$105,$B$3,规格评测!$C$6:$C$105,"&lt;&gt;")</f>
        <v>0</v>
      </c>
      <c r="C12" s="1"/>
      <c r="D12" s="8" t="s">
        <v>92</v>
      </c>
      <c r="E12" s="15">
        <f>IFERROR(AVERAGEIF(运行记录!$A$6:$A$55,$B$3,运行记录!$I$6:$I$55),0)</f>
        <v>0</v>
      </c>
      <c r="F12" s="1"/>
      <c r="G12" s="1"/>
      <c r="H12" s="1"/>
    </row>
    <row r="13" spans="1:8" ht="16">
      <c r="A13" s="8" t="s">
        <v>93</v>
      </c>
      <c r="B13" s="8">
        <f>COUNTIFS(规格评测!$A$6:$A$105,$B$3,规格评测!$M$6:$M$105,"TP")</f>
        <v>0</v>
      </c>
      <c r="C13" s="1"/>
      <c r="D13" s="8" t="s">
        <v>94</v>
      </c>
      <c r="E13" s="16">
        <f>COUNTIFS(运行记录!$A$6:$A$55,$B$3,运行记录!$N$6:$N$55,"Completed")</f>
        <v>0</v>
      </c>
      <c r="F13" s="1"/>
      <c r="G13" s="1"/>
      <c r="H13" s="1"/>
    </row>
    <row r="14" spans="1:8" ht="14.5">
      <c r="A14" s="8" t="s">
        <v>95</v>
      </c>
      <c r="B14" s="8">
        <f>COUNTIFS(规格评测!$A$6:$A$105,$B$3,规格评测!$M$6:$M$105,"FP")</f>
        <v>0</v>
      </c>
      <c r="C14" s="1"/>
      <c r="D14" s="1"/>
      <c r="E14" s="1"/>
      <c r="F14" s="1"/>
      <c r="G14" s="1"/>
      <c r="H14" s="1"/>
    </row>
    <row r="15" spans="1:8" ht="14.5">
      <c r="A15" s="8" t="s">
        <v>96</v>
      </c>
      <c r="B15" s="8">
        <f>COUNTIFS(规格评测!$A$6:$A$105,$B$3,规格评测!$M$6:$M$105,"FN")</f>
        <v>0</v>
      </c>
      <c r="C15" s="1"/>
      <c r="D15" s="1"/>
      <c r="E15" s="1"/>
      <c r="F15" s="1"/>
      <c r="G15" s="1"/>
      <c r="H15" s="1"/>
    </row>
    <row r="16" spans="1:8" ht="14.5">
      <c r="A16" s="8" t="s">
        <v>97</v>
      </c>
      <c r="B16" s="8">
        <f>COUNTIFS(规格评测!$A$6:$A$105,$B$3,规格评测!$M$6:$M$105,"VALUE_ERROR")</f>
        <v>0</v>
      </c>
      <c r="C16" s="1"/>
      <c r="D16" s="1"/>
      <c r="E16" s="1"/>
      <c r="F16" s="1"/>
      <c r="G16" s="1"/>
      <c r="H16" s="1"/>
    </row>
    <row r="17" spans="1:8" ht="14.5">
      <c r="A17" s="1"/>
      <c r="B17" s="1"/>
      <c r="C17" s="1"/>
      <c r="D17" s="1"/>
      <c r="E17" s="1"/>
      <c r="F17" s="1"/>
      <c r="G17" s="1"/>
      <c r="H17" s="1"/>
    </row>
    <row r="18" spans="1:8" ht="24" customHeight="1">
      <c r="A18" s="39" t="s">
        <v>98</v>
      </c>
      <c r="B18" s="39"/>
      <c r="C18" s="39"/>
      <c r="D18" s="39"/>
      <c r="E18" s="39"/>
      <c r="F18" s="39"/>
      <c r="G18" s="39"/>
      <c r="H18" s="39"/>
    </row>
    <row r="19" spans="1:8" ht="26" customHeight="1">
      <c r="A19" s="17" t="s">
        <v>93</v>
      </c>
      <c r="B19" s="43" t="s">
        <v>99</v>
      </c>
      <c r="C19" s="43"/>
      <c r="D19" s="43"/>
      <c r="E19" s="43"/>
      <c r="F19" s="43"/>
      <c r="G19" s="43"/>
      <c r="H19" s="43"/>
    </row>
    <row r="20" spans="1:8" ht="26" customHeight="1">
      <c r="A20" s="17" t="s">
        <v>95</v>
      </c>
      <c r="B20" s="43" t="s">
        <v>100</v>
      </c>
      <c r="C20" s="43"/>
      <c r="D20" s="43"/>
      <c r="E20" s="43"/>
      <c r="F20" s="43"/>
      <c r="G20" s="43"/>
      <c r="H20" s="43"/>
    </row>
    <row r="21" spans="1:8" ht="26" customHeight="1">
      <c r="A21" s="17" t="s">
        <v>96</v>
      </c>
      <c r="B21" s="43" t="s">
        <v>101</v>
      </c>
      <c r="C21" s="43"/>
      <c r="D21" s="43"/>
      <c r="E21" s="43"/>
      <c r="F21" s="43"/>
      <c r="G21" s="43"/>
      <c r="H21" s="43"/>
    </row>
    <row r="22" spans="1:8" ht="26" customHeight="1">
      <c r="A22" s="17" t="s">
        <v>102</v>
      </c>
      <c r="B22" s="43" t="s">
        <v>103</v>
      </c>
      <c r="C22" s="43"/>
      <c r="D22" s="43"/>
      <c r="E22" s="43"/>
      <c r="F22" s="43"/>
      <c r="G22" s="43"/>
      <c r="H22" s="43"/>
    </row>
    <row r="23" spans="1:8" ht="26" customHeight="1">
      <c r="A23" s="17" t="s">
        <v>87</v>
      </c>
      <c r="B23" s="43" t="s">
        <v>104</v>
      </c>
      <c r="C23" s="43"/>
      <c r="D23" s="43"/>
      <c r="E23" s="43"/>
      <c r="F23" s="43"/>
      <c r="G23" s="43"/>
      <c r="H23" s="43"/>
    </row>
    <row r="24" spans="1:8" ht="26" customHeight="1">
      <c r="A24" s="17" t="s">
        <v>105</v>
      </c>
      <c r="B24" s="43" t="s">
        <v>106</v>
      </c>
      <c r="C24" s="43"/>
      <c r="D24" s="43"/>
      <c r="E24" s="43"/>
      <c r="F24" s="43"/>
      <c r="G24" s="43"/>
      <c r="H24" s="43"/>
    </row>
  </sheetData>
  <mergeCells count="10">
    <mergeCell ref="A1:H1"/>
    <mergeCell ref="A2:H2"/>
    <mergeCell ref="A5:D5"/>
    <mergeCell ref="A18:H18"/>
    <mergeCell ref="B19:H19"/>
    <mergeCell ref="B20:H20"/>
    <mergeCell ref="B21:H21"/>
    <mergeCell ref="B22:H22"/>
    <mergeCell ref="B23:H23"/>
    <mergeCell ref="B24:H24"/>
  </mergeCells>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showGridLines="0" workbookViewId="0"/>
  </sheetViews>
  <sheetFormatPr defaultRowHeight="14"/>
  <cols>
    <col min="1" max="1" width="34" customWidth="1"/>
    <col min="2" max="2" width="25" customWidth="1"/>
    <col min="3" max="3" width="30" customWidth="1"/>
    <col min="4" max="6" width="12" customWidth="1"/>
    <col min="7" max="7" width="40" customWidth="1"/>
  </cols>
  <sheetData>
    <row r="1" spans="1:7" ht="34" customHeight="1">
      <c r="A1" s="41" t="s">
        <v>107</v>
      </c>
      <c r="B1" s="41"/>
      <c r="C1" s="41"/>
      <c r="D1" s="41"/>
      <c r="E1" s="41"/>
      <c r="F1" s="41"/>
      <c r="G1" s="41"/>
    </row>
    <row r="2" spans="1:7" ht="28" customHeight="1">
      <c r="A2" s="42" t="s">
        <v>108</v>
      </c>
      <c r="B2" s="42"/>
      <c r="C2" s="42"/>
      <c r="D2" s="42"/>
      <c r="E2" s="42"/>
      <c r="F2" s="42"/>
      <c r="G2" s="42"/>
    </row>
    <row r="3" spans="1:7" ht="14.5">
      <c r="A3" s="1"/>
      <c r="B3" s="1"/>
      <c r="C3" s="1"/>
      <c r="D3" s="1"/>
      <c r="E3" s="1"/>
      <c r="F3" s="1"/>
      <c r="G3" s="1"/>
    </row>
    <row r="4" spans="1:7" ht="32" customHeight="1">
      <c r="A4" s="3" t="s">
        <v>109</v>
      </c>
      <c r="B4" s="4" t="s">
        <v>110</v>
      </c>
      <c r="C4" s="4" t="s">
        <v>111</v>
      </c>
      <c r="D4" s="4" t="s">
        <v>112</v>
      </c>
      <c r="E4" s="4" t="s">
        <v>113</v>
      </c>
      <c r="F4" s="4" t="s">
        <v>114</v>
      </c>
      <c r="G4" s="5" t="s">
        <v>115</v>
      </c>
    </row>
    <row r="5" spans="1:7">
      <c r="A5" s="18" t="s">
        <v>116</v>
      </c>
      <c r="B5" s="18" t="s">
        <v>117</v>
      </c>
      <c r="C5" s="18" t="s">
        <v>118</v>
      </c>
      <c r="D5" s="19">
        <v>1</v>
      </c>
      <c r="E5" s="20">
        <f>COUNTIFS(案例清单!$D$6:$D$55,A5,案例清单!$E$6:$E$55,B5)</f>
        <v>1</v>
      </c>
      <c r="F5" s="20">
        <f t="shared" ref="F5:F34" si="0">D5-E5</f>
        <v>0</v>
      </c>
      <c r="G5" s="18"/>
    </row>
    <row r="6" spans="1:7">
      <c r="A6" s="21" t="s">
        <v>116</v>
      </c>
      <c r="B6" s="21" t="s">
        <v>119</v>
      </c>
      <c r="C6" s="21" t="s">
        <v>120</v>
      </c>
      <c r="D6" s="22">
        <v>1</v>
      </c>
      <c r="E6" s="23">
        <f>COUNTIFS(案例清单!$D$6:$D$55,A6,案例清单!$E$6:$E$55,B6)</f>
        <v>1</v>
      </c>
      <c r="F6" s="23">
        <f t="shared" si="0"/>
        <v>0</v>
      </c>
      <c r="G6" s="21"/>
    </row>
    <row r="7" spans="1:7">
      <c r="A7" s="21" t="s">
        <v>116</v>
      </c>
      <c r="B7" s="21" t="s">
        <v>121</v>
      </c>
      <c r="C7" s="21" t="s">
        <v>122</v>
      </c>
      <c r="D7" s="22">
        <v>1</v>
      </c>
      <c r="E7" s="23">
        <f>COUNTIFS(案例清单!$D$6:$D$55,A7,案例清单!$E$6:$E$55,B7)</f>
        <v>0</v>
      </c>
      <c r="F7" s="23">
        <f t="shared" si="0"/>
        <v>1</v>
      </c>
      <c r="G7" s="21"/>
    </row>
    <row r="8" spans="1:7">
      <c r="A8" s="21" t="s">
        <v>116</v>
      </c>
      <c r="B8" s="21" t="s">
        <v>123</v>
      </c>
      <c r="C8" s="21" t="s">
        <v>124</v>
      </c>
      <c r="D8" s="22">
        <v>1</v>
      </c>
      <c r="E8" s="23">
        <f>COUNTIFS(案例清单!$D$6:$D$55,A8,案例清单!$E$6:$E$55,B8)</f>
        <v>1</v>
      </c>
      <c r="F8" s="23">
        <f t="shared" si="0"/>
        <v>0</v>
      </c>
      <c r="G8" s="21"/>
    </row>
    <row r="9" spans="1:7">
      <c r="A9" s="21" t="s">
        <v>116</v>
      </c>
      <c r="B9" s="21" t="s">
        <v>125</v>
      </c>
      <c r="C9" s="21" t="s">
        <v>126</v>
      </c>
      <c r="D9" s="22">
        <v>1</v>
      </c>
      <c r="E9" s="23">
        <f>COUNTIFS(案例清单!$D$6:$D$55,A9,案例清单!$E$6:$E$55,B9)</f>
        <v>0</v>
      </c>
      <c r="F9" s="23">
        <f t="shared" si="0"/>
        <v>1</v>
      </c>
      <c r="G9" s="21"/>
    </row>
    <row r="10" spans="1:7">
      <c r="A10" s="21" t="s">
        <v>116</v>
      </c>
      <c r="B10" s="21" t="s">
        <v>127</v>
      </c>
      <c r="C10" s="21" t="s">
        <v>128</v>
      </c>
      <c r="D10" s="22">
        <v>1</v>
      </c>
      <c r="E10" s="23">
        <f>COUNTIFS(案例清单!$D$6:$D$55,A10,案例清单!$E$6:$E$55,B10)</f>
        <v>0</v>
      </c>
      <c r="F10" s="23">
        <f t="shared" si="0"/>
        <v>1</v>
      </c>
      <c r="G10" s="21"/>
    </row>
    <row r="11" spans="1:7">
      <c r="A11" s="21" t="s">
        <v>116</v>
      </c>
      <c r="B11" s="21" t="s">
        <v>129</v>
      </c>
      <c r="C11" s="21" t="s">
        <v>130</v>
      </c>
      <c r="D11" s="22">
        <v>1</v>
      </c>
      <c r="E11" s="23">
        <f>COUNTIFS(案例清单!$D$6:$D$55,A11,案例清单!$E$6:$E$55,B11)</f>
        <v>0</v>
      </c>
      <c r="F11" s="23">
        <f t="shared" si="0"/>
        <v>1</v>
      </c>
      <c r="G11" s="21" t="s">
        <v>131</v>
      </c>
    </row>
    <row r="12" spans="1:7">
      <c r="A12" s="21" t="s">
        <v>132</v>
      </c>
      <c r="B12" s="21" t="s">
        <v>133</v>
      </c>
      <c r="C12" s="21" t="s">
        <v>134</v>
      </c>
      <c r="D12" s="22">
        <v>1</v>
      </c>
      <c r="E12" s="23">
        <f>COUNTIFS(案例清单!$D$6:$D$55,A12,案例清单!$E$6:$E$55,B12)</f>
        <v>1</v>
      </c>
      <c r="F12" s="23">
        <f t="shared" si="0"/>
        <v>0</v>
      </c>
      <c r="G12" s="21"/>
    </row>
    <row r="13" spans="1:7">
      <c r="A13" s="21" t="s">
        <v>132</v>
      </c>
      <c r="B13" s="21" t="s">
        <v>135</v>
      </c>
      <c r="C13" s="21" t="s">
        <v>136</v>
      </c>
      <c r="D13" s="22">
        <v>1</v>
      </c>
      <c r="E13" s="23">
        <f>COUNTIFS(案例清单!$D$6:$D$55,A13,案例清单!$E$6:$E$55,B13)</f>
        <v>0</v>
      </c>
      <c r="F13" s="23">
        <f t="shared" si="0"/>
        <v>1</v>
      </c>
      <c r="G13" s="21"/>
    </row>
    <row r="14" spans="1:7">
      <c r="A14" s="21" t="s">
        <v>132</v>
      </c>
      <c r="B14" s="21" t="s">
        <v>137</v>
      </c>
      <c r="C14" s="21" t="s">
        <v>138</v>
      </c>
      <c r="D14" s="22">
        <v>1</v>
      </c>
      <c r="E14" s="23">
        <f>COUNTIFS(案例清单!$D$6:$D$55,A14,案例清单!$E$6:$E$55,B14)</f>
        <v>1</v>
      </c>
      <c r="F14" s="23">
        <f t="shared" si="0"/>
        <v>0</v>
      </c>
      <c r="G14" s="21"/>
    </row>
    <row r="15" spans="1:7">
      <c r="A15" s="21" t="s">
        <v>132</v>
      </c>
      <c r="B15" s="21" t="s">
        <v>139</v>
      </c>
      <c r="C15" s="21" t="s">
        <v>140</v>
      </c>
      <c r="D15" s="22">
        <v>1</v>
      </c>
      <c r="E15" s="23">
        <f>COUNTIFS(案例清单!$D$6:$D$55,A15,案例清单!$E$6:$E$55,B15)</f>
        <v>1</v>
      </c>
      <c r="F15" s="23">
        <f t="shared" si="0"/>
        <v>0</v>
      </c>
      <c r="G15" s="21"/>
    </row>
    <row r="16" spans="1:7">
      <c r="A16" s="21" t="s">
        <v>132</v>
      </c>
      <c r="B16" s="21" t="s">
        <v>141</v>
      </c>
      <c r="C16" s="21" t="s">
        <v>142</v>
      </c>
      <c r="D16" s="22">
        <v>1</v>
      </c>
      <c r="E16" s="23">
        <f>COUNTIFS(案例清单!$D$6:$D$55,A16,案例清单!$E$6:$E$55,B16)</f>
        <v>1</v>
      </c>
      <c r="F16" s="23">
        <f t="shared" si="0"/>
        <v>0</v>
      </c>
      <c r="G16" s="21"/>
    </row>
    <row r="17" spans="1:7">
      <c r="A17" s="21" t="s">
        <v>132</v>
      </c>
      <c r="B17" s="21" t="s">
        <v>143</v>
      </c>
      <c r="C17" s="21" t="s">
        <v>144</v>
      </c>
      <c r="D17" s="22">
        <v>1</v>
      </c>
      <c r="E17" s="23">
        <f>COUNTIFS(案例清单!$D$6:$D$55,A17,案例清单!$E$6:$E$55,B17)</f>
        <v>0</v>
      </c>
      <c r="F17" s="23">
        <f t="shared" si="0"/>
        <v>1</v>
      </c>
      <c r="G17" s="21"/>
    </row>
    <row r="18" spans="1:7">
      <c r="A18" s="21" t="s">
        <v>132</v>
      </c>
      <c r="B18" s="21" t="s">
        <v>145</v>
      </c>
      <c r="C18" s="21" t="s">
        <v>146</v>
      </c>
      <c r="D18" s="22">
        <v>1</v>
      </c>
      <c r="E18" s="23">
        <f>COUNTIFS(案例清单!$D$6:$D$55,A18,案例清单!$E$6:$E$55,B18)</f>
        <v>0</v>
      </c>
      <c r="F18" s="23">
        <f t="shared" si="0"/>
        <v>1</v>
      </c>
      <c r="G18" s="21"/>
    </row>
    <row r="19" spans="1:7">
      <c r="A19" s="21" t="s">
        <v>132</v>
      </c>
      <c r="B19" s="21" t="s">
        <v>147</v>
      </c>
      <c r="C19" s="21" t="s">
        <v>148</v>
      </c>
      <c r="D19" s="22">
        <v>1</v>
      </c>
      <c r="E19" s="23">
        <f>COUNTIFS(案例清单!$D$6:$D$55,A19,案例清单!$E$6:$E$55,B19)</f>
        <v>0</v>
      </c>
      <c r="F19" s="23">
        <f t="shared" si="0"/>
        <v>1</v>
      </c>
      <c r="G19" s="21"/>
    </row>
    <row r="20" spans="1:7">
      <c r="A20" s="21" t="s">
        <v>132</v>
      </c>
      <c r="B20" s="21" t="s">
        <v>149</v>
      </c>
      <c r="C20" s="21" t="s">
        <v>150</v>
      </c>
      <c r="D20" s="22">
        <v>1</v>
      </c>
      <c r="E20" s="23">
        <f>COUNTIFS(案例清单!$D$6:$D$55,A20,案例清单!$E$6:$E$55,B20)</f>
        <v>0</v>
      </c>
      <c r="F20" s="23">
        <f t="shared" si="0"/>
        <v>1</v>
      </c>
      <c r="G20" s="21"/>
    </row>
    <row r="21" spans="1:7">
      <c r="A21" s="21" t="s">
        <v>132</v>
      </c>
      <c r="B21" s="21" t="s">
        <v>129</v>
      </c>
      <c r="C21" s="21" t="s">
        <v>151</v>
      </c>
      <c r="D21" s="22">
        <v>1</v>
      </c>
      <c r="E21" s="23">
        <f>COUNTIFS(案例清单!$D$6:$D$55,A21,案例清单!$E$6:$E$55,B21)</f>
        <v>0</v>
      </c>
      <c r="F21" s="23">
        <f t="shared" si="0"/>
        <v>1</v>
      </c>
      <c r="G21" s="21" t="s">
        <v>131</v>
      </c>
    </row>
    <row r="22" spans="1:7">
      <c r="A22" s="21" t="s">
        <v>152</v>
      </c>
      <c r="B22" s="21" t="s">
        <v>153</v>
      </c>
      <c r="C22" s="21" t="s">
        <v>154</v>
      </c>
      <c r="D22" s="22">
        <v>1</v>
      </c>
      <c r="E22" s="23">
        <f>COUNTIFS(案例清单!$D$6:$D$55,A22,案例清单!$E$6:$E$55,B22)</f>
        <v>3</v>
      </c>
      <c r="F22" s="23">
        <f t="shared" si="0"/>
        <v>-2</v>
      </c>
      <c r="G22" s="21"/>
    </row>
    <row r="23" spans="1:7">
      <c r="A23" s="21" t="s">
        <v>152</v>
      </c>
      <c r="B23" s="21" t="s">
        <v>155</v>
      </c>
      <c r="C23" s="21" t="s">
        <v>156</v>
      </c>
      <c r="D23" s="22">
        <v>1</v>
      </c>
      <c r="E23" s="23">
        <f>COUNTIFS(案例清单!$D$6:$D$55,A23,案例清单!$E$6:$E$55,B23)</f>
        <v>1</v>
      </c>
      <c r="F23" s="23">
        <f t="shared" si="0"/>
        <v>0</v>
      </c>
      <c r="G23" s="21"/>
    </row>
    <row r="24" spans="1:7">
      <c r="A24" s="21" t="s">
        <v>152</v>
      </c>
      <c r="B24" s="21" t="s">
        <v>157</v>
      </c>
      <c r="C24" s="21" t="s">
        <v>158</v>
      </c>
      <c r="D24" s="22">
        <v>1</v>
      </c>
      <c r="E24" s="23">
        <f>COUNTIFS(案例清单!$D$6:$D$55,A24,案例清单!$E$6:$E$55,B24)</f>
        <v>0</v>
      </c>
      <c r="F24" s="23">
        <f t="shared" si="0"/>
        <v>1</v>
      </c>
      <c r="G24" s="21"/>
    </row>
    <row r="25" spans="1:7">
      <c r="A25" s="21" t="s">
        <v>152</v>
      </c>
      <c r="B25" s="21" t="s">
        <v>159</v>
      </c>
      <c r="C25" s="21" t="s">
        <v>160</v>
      </c>
      <c r="D25" s="22">
        <v>1</v>
      </c>
      <c r="E25" s="23">
        <f>COUNTIFS(案例清单!$D$6:$D$55,A25,案例清单!$E$6:$E$55,B25)</f>
        <v>0</v>
      </c>
      <c r="F25" s="23">
        <f t="shared" si="0"/>
        <v>1</v>
      </c>
      <c r="G25" s="21"/>
    </row>
    <row r="26" spans="1:7">
      <c r="A26" s="21" t="s">
        <v>152</v>
      </c>
      <c r="B26" s="21" t="s">
        <v>161</v>
      </c>
      <c r="C26" s="21" t="s">
        <v>162</v>
      </c>
      <c r="D26" s="22">
        <v>1</v>
      </c>
      <c r="E26" s="23">
        <f>COUNTIFS(案例清单!$D$6:$D$55,A26,案例清单!$E$6:$E$55,B26)</f>
        <v>1</v>
      </c>
      <c r="F26" s="23">
        <f t="shared" si="0"/>
        <v>0</v>
      </c>
      <c r="G26" s="21"/>
    </row>
    <row r="27" spans="1:7">
      <c r="A27" s="21" t="s">
        <v>152</v>
      </c>
      <c r="B27" s="21" t="s">
        <v>129</v>
      </c>
      <c r="C27" s="21" t="s">
        <v>163</v>
      </c>
      <c r="D27" s="22">
        <v>1</v>
      </c>
      <c r="E27" s="23">
        <f>COUNTIFS(案例清单!$D$6:$D$55,A27,案例清单!$E$6:$E$55,B27)</f>
        <v>0</v>
      </c>
      <c r="F27" s="23">
        <f t="shared" si="0"/>
        <v>1</v>
      </c>
      <c r="G27" s="21" t="s">
        <v>131</v>
      </c>
    </row>
    <row r="28" spans="1:7">
      <c r="A28" s="21" t="s">
        <v>164</v>
      </c>
      <c r="B28" s="21" t="s">
        <v>165</v>
      </c>
      <c r="C28" s="21" t="s">
        <v>166</v>
      </c>
      <c r="D28" s="22">
        <v>1</v>
      </c>
      <c r="E28" s="23">
        <f>COUNTIFS(案例清单!$D$6:$D$55,A28,案例清单!$E$6:$E$55,B28)</f>
        <v>3</v>
      </c>
      <c r="F28" s="23">
        <f t="shared" si="0"/>
        <v>-2</v>
      </c>
      <c r="G28" s="21"/>
    </row>
    <row r="29" spans="1:7">
      <c r="A29" s="21" t="s">
        <v>164</v>
      </c>
      <c r="B29" s="21" t="s">
        <v>167</v>
      </c>
      <c r="C29" s="21" t="s">
        <v>168</v>
      </c>
      <c r="D29" s="22">
        <v>1</v>
      </c>
      <c r="E29" s="23">
        <f>COUNTIFS(案例清单!$D$6:$D$55,A29,案例清单!$E$6:$E$55,B29)</f>
        <v>1</v>
      </c>
      <c r="F29" s="23">
        <f t="shared" si="0"/>
        <v>0</v>
      </c>
      <c r="G29" s="21"/>
    </row>
    <row r="30" spans="1:7">
      <c r="A30" s="21" t="s">
        <v>164</v>
      </c>
      <c r="B30" s="21" t="s">
        <v>169</v>
      </c>
      <c r="C30" s="21" t="s">
        <v>170</v>
      </c>
      <c r="D30" s="22">
        <v>1</v>
      </c>
      <c r="E30" s="23">
        <f>COUNTIFS(案例清单!$D$6:$D$55,A30,案例清单!$E$6:$E$55,B30)</f>
        <v>4</v>
      </c>
      <c r="F30" s="23">
        <f t="shared" si="0"/>
        <v>-3</v>
      </c>
      <c r="G30" s="21"/>
    </row>
    <row r="31" spans="1:7">
      <c r="A31" s="21" t="s">
        <v>164</v>
      </c>
      <c r="B31" s="21" t="s">
        <v>171</v>
      </c>
      <c r="C31" s="21" t="s">
        <v>172</v>
      </c>
      <c r="D31" s="22">
        <v>1</v>
      </c>
      <c r="E31" s="23">
        <f>COUNTIFS(案例清单!$D$6:$D$55,A31,案例清单!$E$6:$E$55,B31)</f>
        <v>0</v>
      </c>
      <c r="F31" s="23">
        <f t="shared" si="0"/>
        <v>1</v>
      </c>
      <c r="G31" s="21" t="s">
        <v>131</v>
      </c>
    </row>
    <row r="32" spans="1:7">
      <c r="A32" s="21" t="s">
        <v>173</v>
      </c>
      <c r="B32" s="21" t="s">
        <v>174</v>
      </c>
      <c r="C32" s="21" t="s">
        <v>175</v>
      </c>
      <c r="D32" s="22">
        <v>1</v>
      </c>
      <c r="E32" s="23">
        <f>COUNTIFS(案例清单!$D$6:$D$55,A32,案例清单!$E$6:$E$55,B32)</f>
        <v>3</v>
      </c>
      <c r="F32" s="23">
        <f t="shared" si="0"/>
        <v>-2</v>
      </c>
      <c r="G32" s="21"/>
    </row>
    <row r="33" spans="1:7">
      <c r="A33" s="21" t="s">
        <v>173</v>
      </c>
      <c r="B33" s="21" t="s">
        <v>176</v>
      </c>
      <c r="C33" s="21" t="s">
        <v>177</v>
      </c>
      <c r="D33" s="22">
        <v>1</v>
      </c>
      <c r="E33" s="23">
        <f>COUNTIFS(案例清单!$D$6:$D$55,A33,案例清单!$E$6:$E$55,B33)</f>
        <v>0</v>
      </c>
      <c r="F33" s="23">
        <f t="shared" si="0"/>
        <v>1</v>
      </c>
      <c r="G33" s="21"/>
    </row>
    <row r="34" spans="1:7">
      <c r="A34" s="21" t="s">
        <v>173</v>
      </c>
      <c r="B34" s="21" t="s">
        <v>171</v>
      </c>
      <c r="C34" s="21" t="s">
        <v>178</v>
      </c>
      <c r="D34" s="22">
        <v>1</v>
      </c>
      <c r="E34" s="23">
        <f>COUNTIFS(案例清单!$D$6:$D$55,A34,案例清单!$E$6:$E$55,B34)</f>
        <v>0</v>
      </c>
      <c r="F34" s="23">
        <f t="shared" si="0"/>
        <v>1</v>
      </c>
      <c r="G34" s="21" t="s">
        <v>131</v>
      </c>
    </row>
    <row r="35" spans="1:7" ht="14.5">
      <c r="A35" s="1"/>
      <c r="B35" s="1"/>
      <c r="C35" s="1"/>
      <c r="D35" s="1"/>
      <c r="E35" s="1"/>
      <c r="F35" s="1"/>
      <c r="G35" s="1"/>
    </row>
    <row r="36" spans="1:7" ht="14.5">
      <c r="A36" s="24" t="s">
        <v>179</v>
      </c>
      <c r="B36" s="24"/>
      <c r="C36" s="24"/>
      <c r="D36" s="24">
        <f>SUM(D5:D34)</f>
        <v>30</v>
      </c>
      <c r="E36" s="24">
        <f>SUM(E5:E34)</f>
        <v>23</v>
      </c>
      <c r="F36" s="24">
        <f>SUM(F5:F34)</f>
        <v>7</v>
      </c>
      <c r="G36" s="24"/>
    </row>
  </sheetData>
  <mergeCells count="2">
    <mergeCell ref="A1:G1"/>
    <mergeCell ref="A2:G2"/>
  </mergeCells>
  <phoneticPr fontId="13" type="noConversion"/>
  <conditionalFormatting sqref="F5:F34">
    <cfRule type="cellIs" dxfId="5" priority="1" operator="greaterThan">
      <formula>0</formula>
    </cfRule>
    <cfRule type="cellIs" dxfId="4" priority="2" operator="lessThanOrEqual">
      <formula>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55"/>
  <sheetViews>
    <sheetView showGridLines="0" workbookViewId="0">
      <selection sqref="A1:U1"/>
    </sheetView>
  </sheetViews>
  <sheetFormatPr defaultRowHeight="14"/>
  <cols>
    <col min="1" max="1" width="16" customWidth="1"/>
    <col min="2" max="2" width="18" customWidth="1"/>
    <col min="3" max="3" width="20" customWidth="1"/>
    <col min="4" max="4" width="30" customWidth="1"/>
    <col min="5" max="5" width="24" customWidth="1"/>
    <col min="6" max="7" width="14" customWidth="1"/>
    <col min="8" max="8" width="46" customWidth="1"/>
    <col min="9" max="9" width="28" customWidth="1"/>
    <col min="10" max="10" width="18" customWidth="1"/>
    <col min="11" max="11" width="12" customWidth="1"/>
    <col min="12" max="12" width="16" customWidth="1"/>
    <col min="13" max="14" width="13" customWidth="1"/>
    <col min="15" max="15" width="19" customWidth="1"/>
    <col min="16" max="17" width="20" customWidth="1"/>
    <col min="18" max="18" width="18" customWidth="1"/>
    <col min="19" max="20" width="16" customWidth="1"/>
    <col min="21" max="21" width="38" customWidth="1"/>
  </cols>
  <sheetData>
    <row r="1" spans="1:21" ht="34" customHeight="1">
      <c r="A1" s="41" t="s">
        <v>180</v>
      </c>
      <c r="B1" s="41"/>
      <c r="C1" s="41"/>
      <c r="D1" s="41"/>
      <c r="E1" s="41"/>
      <c r="F1" s="41"/>
      <c r="G1" s="41"/>
      <c r="H1" s="41"/>
      <c r="I1" s="41"/>
      <c r="J1" s="41"/>
      <c r="K1" s="41"/>
      <c r="L1" s="41"/>
      <c r="M1" s="41"/>
      <c r="N1" s="41"/>
      <c r="O1" s="41"/>
      <c r="P1" s="41"/>
      <c r="Q1" s="41"/>
      <c r="R1" s="41"/>
      <c r="S1" s="41"/>
      <c r="T1" s="41"/>
      <c r="U1" s="41"/>
    </row>
    <row r="2" spans="1:21" ht="28" customHeight="1">
      <c r="A2" s="42" t="s">
        <v>181</v>
      </c>
      <c r="B2" s="42"/>
      <c r="C2" s="42"/>
      <c r="D2" s="42"/>
      <c r="E2" s="42"/>
      <c r="F2" s="42"/>
      <c r="G2" s="42"/>
      <c r="H2" s="42"/>
      <c r="I2" s="42"/>
      <c r="J2" s="42"/>
      <c r="K2" s="42"/>
      <c r="L2" s="42"/>
      <c r="M2" s="42"/>
      <c r="N2" s="42"/>
      <c r="O2" s="42"/>
      <c r="P2" s="42"/>
      <c r="Q2" s="42"/>
      <c r="R2" s="42"/>
      <c r="S2" s="42"/>
      <c r="T2" s="42"/>
      <c r="U2" s="42"/>
    </row>
    <row r="3" spans="1:21" ht="14.5">
      <c r="A3" s="1"/>
      <c r="B3" s="1"/>
      <c r="C3" s="1"/>
      <c r="D3" s="1"/>
      <c r="E3" s="1"/>
      <c r="F3" s="1"/>
      <c r="G3" s="1"/>
      <c r="H3" s="1"/>
      <c r="I3" s="1"/>
      <c r="J3" s="1"/>
      <c r="K3" s="1"/>
      <c r="L3" s="1"/>
      <c r="M3" s="1"/>
      <c r="N3" s="1"/>
      <c r="O3" s="1"/>
      <c r="P3" s="1"/>
      <c r="Q3" s="1"/>
      <c r="R3" s="1"/>
      <c r="S3" s="1"/>
      <c r="T3" s="1"/>
      <c r="U3" s="1"/>
    </row>
    <row r="4" spans="1:21" ht="14.5">
      <c r="A4" s="1"/>
      <c r="B4" s="1"/>
      <c r="C4" s="1"/>
      <c r="D4" s="1"/>
      <c r="E4" s="1"/>
      <c r="F4" s="1"/>
      <c r="G4" s="1"/>
      <c r="H4" s="1"/>
      <c r="I4" s="1"/>
      <c r="J4" s="1"/>
      <c r="K4" s="1"/>
      <c r="L4" s="1"/>
      <c r="M4" s="1"/>
      <c r="N4" s="1"/>
      <c r="O4" s="1"/>
      <c r="P4" s="1"/>
      <c r="Q4" s="1"/>
      <c r="R4" s="1"/>
      <c r="S4" s="1"/>
      <c r="T4" s="1"/>
      <c r="U4" s="1"/>
    </row>
    <row r="5" spans="1:21" ht="32" customHeight="1">
      <c r="A5" s="3" t="s">
        <v>182</v>
      </c>
      <c r="B5" s="4" t="s">
        <v>183</v>
      </c>
      <c r="C5" s="4" t="s">
        <v>184</v>
      </c>
      <c r="D5" s="4" t="s">
        <v>109</v>
      </c>
      <c r="E5" s="4" t="s">
        <v>185</v>
      </c>
      <c r="F5" s="4" t="s">
        <v>186</v>
      </c>
      <c r="G5" s="4" t="s">
        <v>187</v>
      </c>
      <c r="H5" s="4" t="s">
        <v>188</v>
      </c>
      <c r="I5" s="4" t="s">
        <v>189</v>
      </c>
      <c r="J5" s="4" t="s">
        <v>190</v>
      </c>
      <c r="K5" s="4" t="s">
        <v>191</v>
      </c>
      <c r="L5" s="4" t="s">
        <v>192</v>
      </c>
      <c r="M5" s="4" t="s">
        <v>193</v>
      </c>
      <c r="N5" s="4" t="s">
        <v>194</v>
      </c>
      <c r="O5" s="4" t="s">
        <v>195</v>
      </c>
      <c r="P5" s="4" t="s">
        <v>196</v>
      </c>
      <c r="Q5" s="4" t="s">
        <v>197</v>
      </c>
      <c r="R5" s="4" t="s">
        <v>198</v>
      </c>
      <c r="S5" s="4" t="s">
        <v>199</v>
      </c>
      <c r="T5" s="4" t="s">
        <v>200</v>
      </c>
      <c r="U5" s="5" t="s">
        <v>201</v>
      </c>
    </row>
    <row r="6" spans="1:21" ht="52" customHeight="1">
      <c r="A6" s="18" t="s">
        <v>202</v>
      </c>
      <c r="B6" s="18" t="s">
        <v>203</v>
      </c>
      <c r="C6" s="18" t="s">
        <v>204</v>
      </c>
      <c r="D6" s="18" t="s">
        <v>116</v>
      </c>
      <c r="E6" s="18" t="s">
        <v>117</v>
      </c>
      <c r="F6" s="18" t="s">
        <v>205</v>
      </c>
      <c r="G6" s="18" t="s">
        <v>206</v>
      </c>
      <c r="H6" s="18" t="s">
        <v>207</v>
      </c>
      <c r="I6" s="18" t="s">
        <v>208</v>
      </c>
      <c r="J6" s="18" t="s">
        <v>209</v>
      </c>
      <c r="K6" s="18">
        <v>17</v>
      </c>
      <c r="L6" s="18" t="s">
        <v>210</v>
      </c>
      <c r="M6" s="18" t="s">
        <v>211</v>
      </c>
      <c r="N6" s="18" t="s">
        <v>212</v>
      </c>
      <c r="O6" s="18" t="s">
        <v>212</v>
      </c>
      <c r="P6" s="18" t="s">
        <v>211</v>
      </c>
      <c r="Q6" s="18"/>
      <c r="R6" s="18" t="s">
        <v>213</v>
      </c>
      <c r="S6" s="18" t="s">
        <v>214</v>
      </c>
      <c r="T6" s="18"/>
      <c r="U6" s="18" t="s">
        <v>215</v>
      </c>
    </row>
    <row r="7" spans="1:21" ht="52">
      <c r="A7" s="21" t="s">
        <v>216</v>
      </c>
      <c r="B7" s="21" t="s">
        <v>217</v>
      </c>
      <c r="C7" s="21" t="s">
        <v>218</v>
      </c>
      <c r="D7" s="21" t="s">
        <v>152</v>
      </c>
      <c r="E7" s="21" t="s">
        <v>153</v>
      </c>
      <c r="F7" s="21" t="s">
        <v>219</v>
      </c>
      <c r="G7" s="21" t="s">
        <v>206</v>
      </c>
      <c r="H7" s="21" t="s">
        <v>220</v>
      </c>
      <c r="I7" s="21" t="s">
        <v>221</v>
      </c>
      <c r="J7" s="21" t="s">
        <v>209</v>
      </c>
      <c r="K7" s="21">
        <v>2</v>
      </c>
      <c r="L7" s="21" t="s">
        <v>222</v>
      </c>
      <c r="M7" s="21" t="s">
        <v>211</v>
      </c>
      <c r="N7" s="21" t="s">
        <v>212</v>
      </c>
      <c r="O7" s="21" t="s">
        <v>211</v>
      </c>
      <c r="P7" s="21" t="s">
        <v>211</v>
      </c>
      <c r="Q7" s="21" t="s">
        <v>223</v>
      </c>
      <c r="R7" s="21" t="s">
        <v>213</v>
      </c>
      <c r="S7" s="21" t="s">
        <v>224</v>
      </c>
      <c r="T7" s="21"/>
      <c r="U7" s="21" t="s">
        <v>225</v>
      </c>
    </row>
    <row r="8" spans="1:21" ht="39">
      <c r="A8" s="21" t="s">
        <v>226</v>
      </c>
      <c r="B8" s="21" t="s">
        <v>217</v>
      </c>
      <c r="C8" s="21" t="s">
        <v>227</v>
      </c>
      <c r="D8" s="21" t="s">
        <v>152</v>
      </c>
      <c r="E8" s="21" t="s">
        <v>153</v>
      </c>
      <c r="F8" s="21" t="s">
        <v>219</v>
      </c>
      <c r="G8" s="21" t="s">
        <v>206</v>
      </c>
      <c r="H8" s="21" t="s">
        <v>228</v>
      </c>
      <c r="I8" s="21" t="s">
        <v>229</v>
      </c>
      <c r="J8" s="21" t="s">
        <v>209</v>
      </c>
      <c r="K8" s="21">
        <v>2</v>
      </c>
      <c r="L8" s="21" t="s">
        <v>222</v>
      </c>
      <c r="M8" s="21" t="s">
        <v>211</v>
      </c>
      <c r="N8" s="21" t="s">
        <v>212</v>
      </c>
      <c r="O8" s="21" t="s">
        <v>212</v>
      </c>
      <c r="P8" s="21" t="s">
        <v>211</v>
      </c>
      <c r="Q8" s="21"/>
      <c r="R8" s="21" t="s">
        <v>213</v>
      </c>
      <c r="S8" s="21" t="s">
        <v>224</v>
      </c>
      <c r="T8" s="21"/>
      <c r="U8" s="21" t="s">
        <v>230</v>
      </c>
    </row>
    <row r="9" spans="1:21" ht="39">
      <c r="A9" s="21" t="s">
        <v>231</v>
      </c>
      <c r="B9" s="21" t="s">
        <v>232</v>
      </c>
      <c r="C9" s="21" t="s">
        <v>233</v>
      </c>
      <c r="D9" s="21" t="s">
        <v>173</v>
      </c>
      <c r="E9" s="21" t="s">
        <v>174</v>
      </c>
      <c r="F9" s="21" t="s">
        <v>219</v>
      </c>
      <c r="G9" s="21" t="s">
        <v>206</v>
      </c>
      <c r="H9" s="21" t="s">
        <v>234</v>
      </c>
      <c r="I9" s="21" t="s">
        <v>235</v>
      </c>
      <c r="J9" s="21" t="s">
        <v>209</v>
      </c>
      <c r="K9" s="21">
        <v>6</v>
      </c>
      <c r="L9" s="21" t="s">
        <v>236</v>
      </c>
      <c r="M9" s="21" t="s">
        <v>211</v>
      </c>
      <c r="N9" s="21" t="s">
        <v>212</v>
      </c>
      <c r="O9" s="21" t="s">
        <v>211</v>
      </c>
      <c r="P9" s="21" t="s">
        <v>211</v>
      </c>
      <c r="Q9" s="21" t="s">
        <v>237</v>
      </c>
      <c r="R9" s="21" t="s">
        <v>213</v>
      </c>
      <c r="S9" s="21" t="s">
        <v>224</v>
      </c>
      <c r="T9" s="21"/>
      <c r="U9" s="21" t="s">
        <v>225</v>
      </c>
    </row>
    <row r="10" spans="1:21" ht="39">
      <c r="A10" s="21" t="s">
        <v>238</v>
      </c>
      <c r="B10" s="21" t="s">
        <v>239</v>
      </c>
      <c r="C10" s="21" t="s">
        <v>240</v>
      </c>
      <c r="D10" s="21" t="s">
        <v>152</v>
      </c>
      <c r="E10" s="21" t="s">
        <v>153</v>
      </c>
      <c r="F10" s="21" t="s">
        <v>219</v>
      </c>
      <c r="G10" s="21" t="s">
        <v>206</v>
      </c>
      <c r="H10" s="21" t="s">
        <v>241</v>
      </c>
      <c r="I10" s="21" t="s">
        <v>242</v>
      </c>
      <c r="J10" s="21" t="s">
        <v>209</v>
      </c>
      <c r="K10" s="21">
        <v>2</v>
      </c>
      <c r="L10" s="21" t="s">
        <v>222</v>
      </c>
      <c r="M10" s="21" t="s">
        <v>211</v>
      </c>
      <c r="N10" s="21" t="s">
        <v>212</v>
      </c>
      <c r="O10" s="21" t="s">
        <v>212</v>
      </c>
      <c r="P10" s="21" t="s">
        <v>211</v>
      </c>
      <c r="Q10" s="21"/>
      <c r="R10" s="21" t="s">
        <v>213</v>
      </c>
      <c r="S10" s="21" t="s">
        <v>224</v>
      </c>
      <c r="T10" s="21"/>
      <c r="U10" s="21" t="s">
        <v>230</v>
      </c>
    </row>
    <row r="11" spans="1:21" ht="39">
      <c r="A11" s="21" t="s">
        <v>243</v>
      </c>
      <c r="B11" s="21" t="s">
        <v>244</v>
      </c>
      <c r="C11" s="21" t="s">
        <v>245</v>
      </c>
      <c r="D11" s="21" t="s">
        <v>132</v>
      </c>
      <c r="E11" s="21" t="s">
        <v>139</v>
      </c>
      <c r="F11" s="21" t="s">
        <v>219</v>
      </c>
      <c r="G11" s="21" t="s">
        <v>206</v>
      </c>
      <c r="H11" s="21" t="s">
        <v>246</v>
      </c>
      <c r="I11" s="21" t="s">
        <v>247</v>
      </c>
      <c r="J11" s="21" t="s">
        <v>209</v>
      </c>
      <c r="K11" s="21">
        <v>21</v>
      </c>
      <c r="L11" s="21" t="s">
        <v>210</v>
      </c>
      <c r="M11" s="21" t="s">
        <v>211</v>
      </c>
      <c r="N11" s="21" t="s">
        <v>212</v>
      </c>
      <c r="O11" s="21" t="s">
        <v>211</v>
      </c>
      <c r="P11" s="21" t="s">
        <v>211</v>
      </c>
      <c r="Q11" s="21" t="s">
        <v>248</v>
      </c>
      <c r="R11" s="21" t="s">
        <v>213</v>
      </c>
      <c r="S11" s="21" t="s">
        <v>224</v>
      </c>
      <c r="T11" s="21"/>
      <c r="U11" s="21" t="s">
        <v>225</v>
      </c>
    </row>
    <row r="12" spans="1:21" ht="39">
      <c r="A12" s="21" t="s">
        <v>249</v>
      </c>
      <c r="B12" s="21" t="s">
        <v>250</v>
      </c>
      <c r="C12" s="21" t="s">
        <v>251</v>
      </c>
      <c r="D12" s="21" t="s">
        <v>173</v>
      </c>
      <c r="E12" s="21" t="s">
        <v>174</v>
      </c>
      <c r="F12" s="21" t="s">
        <v>219</v>
      </c>
      <c r="G12" s="21" t="s">
        <v>206</v>
      </c>
      <c r="H12" s="21" t="s">
        <v>252</v>
      </c>
      <c r="I12" s="21" t="s">
        <v>253</v>
      </c>
      <c r="J12" s="21" t="s">
        <v>209</v>
      </c>
      <c r="K12" s="21">
        <v>2</v>
      </c>
      <c r="L12" s="21" t="s">
        <v>222</v>
      </c>
      <c r="M12" s="21" t="s">
        <v>211</v>
      </c>
      <c r="N12" s="21" t="s">
        <v>212</v>
      </c>
      <c r="O12" s="21" t="s">
        <v>212</v>
      </c>
      <c r="P12" s="21" t="s">
        <v>211</v>
      </c>
      <c r="Q12" s="21"/>
      <c r="R12" s="21" t="s">
        <v>213</v>
      </c>
      <c r="S12" s="21" t="s">
        <v>224</v>
      </c>
      <c r="T12" s="21"/>
      <c r="U12" s="21" t="s">
        <v>230</v>
      </c>
    </row>
    <row r="13" spans="1:21" ht="39">
      <c r="A13" s="21" t="s">
        <v>254</v>
      </c>
      <c r="B13" s="21" t="s">
        <v>255</v>
      </c>
      <c r="C13" s="21" t="s">
        <v>256</v>
      </c>
      <c r="D13" s="21" t="s">
        <v>132</v>
      </c>
      <c r="E13" s="21" t="s">
        <v>137</v>
      </c>
      <c r="F13" s="21" t="s">
        <v>219</v>
      </c>
      <c r="G13" s="21" t="s">
        <v>206</v>
      </c>
      <c r="H13" s="21" t="s">
        <v>257</v>
      </c>
      <c r="I13" s="21" t="s">
        <v>258</v>
      </c>
      <c r="J13" s="21" t="s">
        <v>209</v>
      </c>
      <c r="K13" s="21">
        <v>2</v>
      </c>
      <c r="L13" s="21" t="s">
        <v>222</v>
      </c>
      <c r="M13" s="21" t="s">
        <v>211</v>
      </c>
      <c r="N13" s="21" t="s">
        <v>212</v>
      </c>
      <c r="O13" s="21" t="s">
        <v>212</v>
      </c>
      <c r="P13" s="21" t="s">
        <v>211</v>
      </c>
      <c r="Q13" s="21"/>
      <c r="R13" s="21" t="s">
        <v>213</v>
      </c>
      <c r="S13" s="21" t="s">
        <v>224</v>
      </c>
      <c r="T13" s="21"/>
      <c r="U13" s="21" t="s">
        <v>230</v>
      </c>
    </row>
    <row r="14" spans="1:21" ht="39">
      <c r="A14" s="21" t="s">
        <v>259</v>
      </c>
      <c r="B14" s="21" t="s">
        <v>260</v>
      </c>
      <c r="C14" s="21" t="s">
        <v>261</v>
      </c>
      <c r="D14" s="21" t="s">
        <v>164</v>
      </c>
      <c r="E14" s="21" t="s">
        <v>165</v>
      </c>
      <c r="F14" s="21" t="s">
        <v>219</v>
      </c>
      <c r="G14" s="21" t="s">
        <v>206</v>
      </c>
      <c r="H14" s="21" t="s">
        <v>262</v>
      </c>
      <c r="I14" s="21" t="s">
        <v>263</v>
      </c>
      <c r="J14" s="21" t="s">
        <v>209</v>
      </c>
      <c r="K14" s="21">
        <v>6</v>
      </c>
      <c r="L14" s="21" t="s">
        <v>236</v>
      </c>
      <c r="M14" s="21" t="s">
        <v>211</v>
      </c>
      <c r="N14" s="21" t="s">
        <v>212</v>
      </c>
      <c r="O14" s="21" t="s">
        <v>212</v>
      </c>
      <c r="P14" s="21" t="s">
        <v>211</v>
      </c>
      <c r="Q14" s="21"/>
      <c r="R14" s="21" t="s">
        <v>213</v>
      </c>
      <c r="S14" s="21" t="s">
        <v>224</v>
      </c>
      <c r="T14" s="21"/>
      <c r="U14" s="21" t="s">
        <v>230</v>
      </c>
    </row>
    <row r="15" spans="1:21" ht="39">
      <c r="A15" s="21" t="s">
        <v>264</v>
      </c>
      <c r="B15" s="21" t="s">
        <v>260</v>
      </c>
      <c r="C15" s="21" t="s">
        <v>265</v>
      </c>
      <c r="D15" s="21" t="s">
        <v>266</v>
      </c>
      <c r="E15" s="21"/>
      <c r="F15" s="21" t="s">
        <v>205</v>
      </c>
      <c r="G15" s="21" t="s">
        <v>206</v>
      </c>
      <c r="H15" s="21" t="s">
        <v>267</v>
      </c>
      <c r="I15" s="21" t="s">
        <v>268</v>
      </c>
      <c r="J15" s="21" t="s">
        <v>209</v>
      </c>
      <c r="K15" s="21">
        <v>6</v>
      </c>
      <c r="L15" s="21" t="s">
        <v>236</v>
      </c>
      <c r="M15" s="21" t="s">
        <v>211</v>
      </c>
      <c r="N15" s="21" t="s">
        <v>212</v>
      </c>
      <c r="O15" s="21" t="s">
        <v>212</v>
      </c>
      <c r="P15" s="21" t="s">
        <v>211</v>
      </c>
      <c r="Q15" s="21"/>
      <c r="R15" s="21" t="s">
        <v>213</v>
      </c>
      <c r="S15" s="21" t="s">
        <v>224</v>
      </c>
      <c r="T15" s="21"/>
      <c r="U15" s="21" t="s">
        <v>230</v>
      </c>
    </row>
    <row r="16" spans="1:21" ht="39">
      <c r="A16" s="21" t="s">
        <v>269</v>
      </c>
      <c r="B16" s="21" t="s">
        <v>270</v>
      </c>
      <c r="C16" s="21" t="s">
        <v>271</v>
      </c>
      <c r="D16" s="21" t="s">
        <v>164</v>
      </c>
      <c r="E16" s="21" t="s">
        <v>167</v>
      </c>
      <c r="F16" s="21" t="s">
        <v>219</v>
      </c>
      <c r="G16" s="21" t="s">
        <v>206</v>
      </c>
      <c r="H16" s="21" t="s">
        <v>272</v>
      </c>
      <c r="I16" s="21" t="s">
        <v>273</v>
      </c>
      <c r="J16" s="21" t="s">
        <v>209</v>
      </c>
      <c r="K16" s="21">
        <v>4</v>
      </c>
      <c r="L16" s="21" t="s">
        <v>236</v>
      </c>
      <c r="M16" s="21" t="s">
        <v>211</v>
      </c>
      <c r="N16" s="21" t="s">
        <v>212</v>
      </c>
      <c r="O16" s="21" t="s">
        <v>212</v>
      </c>
      <c r="P16" s="21" t="s">
        <v>211</v>
      </c>
      <c r="Q16" s="21"/>
      <c r="R16" s="21" t="s">
        <v>213</v>
      </c>
      <c r="S16" s="21" t="s">
        <v>224</v>
      </c>
      <c r="T16" s="21"/>
      <c r="U16" s="21" t="s">
        <v>230</v>
      </c>
    </row>
    <row r="17" spans="1:21" ht="39">
      <c r="A17" s="21" t="s">
        <v>274</v>
      </c>
      <c r="B17" s="21" t="s">
        <v>275</v>
      </c>
      <c r="C17" s="21" t="s">
        <v>276</v>
      </c>
      <c r="D17" s="21" t="s">
        <v>164</v>
      </c>
      <c r="E17" s="21" t="s">
        <v>169</v>
      </c>
      <c r="F17" s="21" t="s">
        <v>219</v>
      </c>
      <c r="G17" s="21" t="s">
        <v>206</v>
      </c>
      <c r="H17" s="21" t="s">
        <v>277</v>
      </c>
      <c r="I17" s="21" t="s">
        <v>278</v>
      </c>
      <c r="J17" s="21" t="s">
        <v>209</v>
      </c>
      <c r="K17" s="21">
        <v>24</v>
      </c>
      <c r="L17" s="21" t="s">
        <v>210</v>
      </c>
      <c r="M17" s="21" t="s">
        <v>211</v>
      </c>
      <c r="N17" s="21" t="s">
        <v>212</v>
      </c>
      <c r="O17" s="21" t="s">
        <v>211</v>
      </c>
      <c r="P17" s="21" t="s">
        <v>211</v>
      </c>
      <c r="Q17" s="21" t="s">
        <v>279</v>
      </c>
      <c r="R17" s="21" t="s">
        <v>213</v>
      </c>
      <c r="S17" s="21" t="s">
        <v>224</v>
      </c>
      <c r="T17" s="21"/>
      <c r="U17" s="21" t="s">
        <v>225</v>
      </c>
    </row>
    <row r="18" spans="1:21" ht="39">
      <c r="A18" s="21" t="s">
        <v>280</v>
      </c>
      <c r="B18" s="21" t="s">
        <v>281</v>
      </c>
      <c r="C18" s="21" t="s">
        <v>282</v>
      </c>
      <c r="D18" s="21" t="s">
        <v>132</v>
      </c>
      <c r="E18" s="21" t="s">
        <v>141</v>
      </c>
      <c r="F18" s="21" t="s">
        <v>219</v>
      </c>
      <c r="G18" s="21" t="s">
        <v>206</v>
      </c>
      <c r="H18" s="21" t="s">
        <v>283</v>
      </c>
      <c r="I18" s="21" t="s">
        <v>284</v>
      </c>
      <c r="J18" s="21" t="s">
        <v>209</v>
      </c>
      <c r="K18" s="21">
        <v>3</v>
      </c>
      <c r="L18" s="21" t="s">
        <v>222</v>
      </c>
      <c r="M18" s="21" t="s">
        <v>211</v>
      </c>
      <c r="N18" s="21" t="s">
        <v>212</v>
      </c>
      <c r="O18" s="21" t="s">
        <v>212</v>
      </c>
      <c r="P18" s="21" t="s">
        <v>211</v>
      </c>
      <c r="Q18" s="21"/>
      <c r="R18" s="21" t="s">
        <v>213</v>
      </c>
      <c r="S18" s="21" t="s">
        <v>224</v>
      </c>
      <c r="T18" s="21"/>
      <c r="U18" s="21" t="s">
        <v>230</v>
      </c>
    </row>
    <row r="19" spans="1:21" ht="39">
      <c r="A19" s="21" t="s">
        <v>285</v>
      </c>
      <c r="B19" s="21" t="s">
        <v>281</v>
      </c>
      <c r="C19" s="21" t="s">
        <v>286</v>
      </c>
      <c r="D19" s="21" t="s">
        <v>164</v>
      </c>
      <c r="E19" s="21" t="s">
        <v>165</v>
      </c>
      <c r="F19" s="21" t="s">
        <v>219</v>
      </c>
      <c r="G19" s="21" t="s">
        <v>206</v>
      </c>
      <c r="H19" s="21" t="s">
        <v>287</v>
      </c>
      <c r="I19" s="21" t="s">
        <v>288</v>
      </c>
      <c r="J19" s="21" t="s">
        <v>209</v>
      </c>
      <c r="K19" s="21">
        <v>39</v>
      </c>
      <c r="L19" s="21" t="s">
        <v>210</v>
      </c>
      <c r="M19" s="21" t="s">
        <v>211</v>
      </c>
      <c r="N19" s="21" t="s">
        <v>212</v>
      </c>
      <c r="O19" s="21" t="s">
        <v>211</v>
      </c>
      <c r="P19" s="21" t="s">
        <v>211</v>
      </c>
      <c r="Q19" s="21" t="s">
        <v>289</v>
      </c>
      <c r="R19" s="21" t="s">
        <v>213</v>
      </c>
      <c r="S19" s="21" t="s">
        <v>224</v>
      </c>
      <c r="T19" s="21"/>
      <c r="U19" s="21" t="s">
        <v>225</v>
      </c>
    </row>
    <row r="20" spans="1:21" ht="39">
      <c r="A20" s="21" t="s">
        <v>290</v>
      </c>
      <c r="B20" s="21" t="s">
        <v>291</v>
      </c>
      <c r="C20" s="21" t="s">
        <v>292</v>
      </c>
      <c r="D20" s="21" t="s">
        <v>164</v>
      </c>
      <c r="E20" s="21" t="s">
        <v>169</v>
      </c>
      <c r="F20" s="21" t="s">
        <v>219</v>
      </c>
      <c r="G20" s="21" t="s">
        <v>206</v>
      </c>
      <c r="H20" s="21" t="s">
        <v>293</v>
      </c>
      <c r="I20" s="21" t="s">
        <v>294</v>
      </c>
      <c r="J20" s="21" t="s">
        <v>209</v>
      </c>
      <c r="K20" s="21">
        <v>10</v>
      </c>
      <c r="L20" s="21" t="s">
        <v>210</v>
      </c>
      <c r="M20" s="21" t="s">
        <v>211</v>
      </c>
      <c r="N20" s="21" t="s">
        <v>212</v>
      </c>
      <c r="O20" s="21" t="s">
        <v>211</v>
      </c>
      <c r="P20" s="21" t="s">
        <v>211</v>
      </c>
      <c r="Q20" s="21" t="s">
        <v>295</v>
      </c>
      <c r="R20" s="21" t="s">
        <v>213</v>
      </c>
      <c r="S20" s="21" t="s">
        <v>224</v>
      </c>
      <c r="T20" s="21"/>
      <c r="U20" s="21" t="s">
        <v>225</v>
      </c>
    </row>
    <row r="21" spans="1:21" ht="39">
      <c r="A21" s="21" t="s">
        <v>296</v>
      </c>
      <c r="B21" s="21" t="s">
        <v>297</v>
      </c>
      <c r="C21" s="21" t="s">
        <v>298</v>
      </c>
      <c r="D21" s="21" t="s">
        <v>164</v>
      </c>
      <c r="E21" s="21" t="s">
        <v>169</v>
      </c>
      <c r="F21" s="21" t="s">
        <v>219</v>
      </c>
      <c r="G21" s="21" t="s">
        <v>206</v>
      </c>
      <c r="H21" s="21" t="s">
        <v>299</v>
      </c>
      <c r="I21" s="21" t="s">
        <v>300</v>
      </c>
      <c r="J21" s="21" t="s">
        <v>209</v>
      </c>
      <c r="K21" s="21">
        <v>6</v>
      </c>
      <c r="L21" s="21" t="s">
        <v>236</v>
      </c>
      <c r="M21" s="21" t="s">
        <v>211</v>
      </c>
      <c r="N21" s="21" t="s">
        <v>212</v>
      </c>
      <c r="O21" s="21" t="s">
        <v>211</v>
      </c>
      <c r="P21" s="21" t="s">
        <v>211</v>
      </c>
      <c r="Q21" s="21" t="s">
        <v>301</v>
      </c>
      <c r="R21" s="21" t="s">
        <v>213</v>
      </c>
      <c r="S21" s="21" t="s">
        <v>224</v>
      </c>
      <c r="T21" s="21"/>
      <c r="U21" s="21" t="s">
        <v>225</v>
      </c>
    </row>
    <row r="22" spans="1:21" ht="39">
      <c r="A22" s="21" t="s">
        <v>302</v>
      </c>
      <c r="B22" s="21" t="s">
        <v>244</v>
      </c>
      <c r="C22" s="21" t="s">
        <v>303</v>
      </c>
      <c r="D22" s="21" t="s">
        <v>164</v>
      </c>
      <c r="E22" s="21" t="s">
        <v>169</v>
      </c>
      <c r="F22" s="21" t="s">
        <v>219</v>
      </c>
      <c r="G22" s="21" t="s">
        <v>206</v>
      </c>
      <c r="H22" s="21" t="s">
        <v>304</v>
      </c>
      <c r="I22" s="21" t="s">
        <v>305</v>
      </c>
      <c r="J22" s="21" t="s">
        <v>209</v>
      </c>
      <c r="K22" s="21">
        <v>41</v>
      </c>
      <c r="L22" s="21" t="s">
        <v>210</v>
      </c>
      <c r="M22" s="21" t="s">
        <v>211</v>
      </c>
      <c r="N22" s="21" t="s">
        <v>212</v>
      </c>
      <c r="O22" s="21" t="s">
        <v>211</v>
      </c>
      <c r="P22" s="21" t="s">
        <v>211</v>
      </c>
      <c r="Q22" s="21" t="s">
        <v>306</v>
      </c>
      <c r="R22" s="21" t="s">
        <v>213</v>
      </c>
      <c r="S22" s="21" t="s">
        <v>224</v>
      </c>
      <c r="T22" s="21"/>
      <c r="U22" s="21" t="s">
        <v>225</v>
      </c>
    </row>
    <row r="23" spans="1:21" ht="39">
      <c r="A23" s="21" t="s">
        <v>307</v>
      </c>
      <c r="B23" s="21" t="s">
        <v>308</v>
      </c>
      <c r="C23" s="21" t="s">
        <v>309</v>
      </c>
      <c r="D23" s="21" t="s">
        <v>132</v>
      </c>
      <c r="E23" s="21" t="s">
        <v>133</v>
      </c>
      <c r="F23" s="21" t="s">
        <v>219</v>
      </c>
      <c r="G23" s="21" t="s">
        <v>206</v>
      </c>
      <c r="H23" s="21" t="s">
        <v>310</v>
      </c>
      <c r="I23" s="21" t="s">
        <v>311</v>
      </c>
      <c r="J23" s="21" t="s">
        <v>209</v>
      </c>
      <c r="K23" s="21">
        <v>3</v>
      </c>
      <c r="L23" s="21" t="s">
        <v>222</v>
      </c>
      <c r="M23" s="21" t="s">
        <v>211</v>
      </c>
      <c r="N23" s="21" t="s">
        <v>212</v>
      </c>
      <c r="O23" s="21" t="s">
        <v>211</v>
      </c>
      <c r="P23" s="21" t="s">
        <v>211</v>
      </c>
      <c r="Q23" s="21" t="s">
        <v>312</v>
      </c>
      <c r="R23" s="21" t="s">
        <v>213</v>
      </c>
      <c r="S23" s="21" t="s">
        <v>224</v>
      </c>
      <c r="T23" s="21"/>
      <c r="U23" s="21" t="s">
        <v>225</v>
      </c>
    </row>
    <row r="24" spans="1:21" ht="39">
      <c r="A24" s="21" t="s">
        <v>313</v>
      </c>
      <c r="B24" s="21" t="s">
        <v>203</v>
      </c>
      <c r="C24" s="21" t="s">
        <v>314</v>
      </c>
      <c r="D24" s="21" t="s">
        <v>152</v>
      </c>
      <c r="E24" s="21" t="s">
        <v>155</v>
      </c>
      <c r="F24" s="21" t="s">
        <v>219</v>
      </c>
      <c r="G24" s="21" t="s">
        <v>206</v>
      </c>
      <c r="H24" s="21" t="s">
        <v>315</v>
      </c>
      <c r="I24" s="21" t="s">
        <v>316</v>
      </c>
      <c r="J24" s="21" t="s">
        <v>209</v>
      </c>
      <c r="K24" s="21">
        <v>20</v>
      </c>
      <c r="L24" s="21" t="s">
        <v>210</v>
      </c>
      <c r="M24" s="21" t="s">
        <v>211</v>
      </c>
      <c r="N24" s="21" t="s">
        <v>212</v>
      </c>
      <c r="O24" s="21" t="s">
        <v>212</v>
      </c>
      <c r="P24" s="21" t="s">
        <v>211</v>
      </c>
      <c r="Q24" s="21"/>
      <c r="R24" s="21" t="s">
        <v>213</v>
      </c>
      <c r="S24" s="21" t="s">
        <v>224</v>
      </c>
      <c r="T24" s="21"/>
      <c r="U24" s="21" t="s">
        <v>230</v>
      </c>
    </row>
    <row r="25" spans="1:21" ht="39">
      <c r="A25" s="21" t="s">
        <v>317</v>
      </c>
      <c r="B25" s="21" t="s">
        <v>203</v>
      </c>
      <c r="C25" s="21" t="s">
        <v>318</v>
      </c>
      <c r="D25" s="21" t="s">
        <v>164</v>
      </c>
      <c r="E25" s="21" t="s">
        <v>165</v>
      </c>
      <c r="F25" s="21" t="s">
        <v>219</v>
      </c>
      <c r="G25" s="21" t="s">
        <v>206</v>
      </c>
      <c r="H25" s="21" t="s">
        <v>319</v>
      </c>
      <c r="I25" s="21" t="s">
        <v>320</v>
      </c>
      <c r="J25" s="21" t="s">
        <v>209</v>
      </c>
      <c r="K25" s="21">
        <v>13</v>
      </c>
      <c r="L25" s="21" t="s">
        <v>210</v>
      </c>
      <c r="M25" s="21" t="s">
        <v>211</v>
      </c>
      <c r="N25" s="21" t="s">
        <v>212</v>
      </c>
      <c r="O25" s="21" t="s">
        <v>212</v>
      </c>
      <c r="P25" s="21" t="s">
        <v>211</v>
      </c>
      <c r="Q25" s="21"/>
      <c r="R25" s="21" t="s">
        <v>213</v>
      </c>
      <c r="S25" s="21" t="s">
        <v>224</v>
      </c>
      <c r="T25" s="21"/>
      <c r="U25" s="21" t="s">
        <v>230</v>
      </c>
    </row>
    <row r="26" spans="1:21" ht="39">
      <c r="A26" s="21" t="s">
        <v>321</v>
      </c>
      <c r="B26" s="21" t="s">
        <v>322</v>
      </c>
      <c r="C26" s="21" t="s">
        <v>323</v>
      </c>
      <c r="D26" s="21" t="s">
        <v>116</v>
      </c>
      <c r="E26" s="21" t="s">
        <v>123</v>
      </c>
      <c r="F26" s="21" t="s">
        <v>205</v>
      </c>
      <c r="G26" s="21" t="s">
        <v>206</v>
      </c>
      <c r="H26" s="21" t="s">
        <v>324</v>
      </c>
      <c r="I26" s="21" t="s">
        <v>325</v>
      </c>
      <c r="J26" s="21" t="s">
        <v>209</v>
      </c>
      <c r="K26" s="21">
        <v>6</v>
      </c>
      <c r="L26" s="21" t="s">
        <v>236</v>
      </c>
      <c r="M26" s="21" t="s">
        <v>211</v>
      </c>
      <c r="N26" s="21" t="s">
        <v>212</v>
      </c>
      <c r="O26" s="21" t="s">
        <v>212</v>
      </c>
      <c r="P26" s="21" t="s">
        <v>211</v>
      </c>
      <c r="Q26" s="21"/>
      <c r="R26" s="21" t="s">
        <v>213</v>
      </c>
      <c r="S26" s="21" t="s">
        <v>224</v>
      </c>
      <c r="T26" s="21"/>
      <c r="U26" s="21" t="s">
        <v>230</v>
      </c>
    </row>
    <row r="27" spans="1:21" ht="39">
      <c r="A27" s="21" t="s">
        <v>326</v>
      </c>
      <c r="B27" s="21" t="s">
        <v>327</v>
      </c>
      <c r="C27" s="21" t="s">
        <v>328</v>
      </c>
      <c r="D27" s="21" t="s">
        <v>173</v>
      </c>
      <c r="E27" s="21" t="s">
        <v>174</v>
      </c>
      <c r="F27" s="21" t="s">
        <v>219</v>
      </c>
      <c r="G27" s="21" t="s">
        <v>206</v>
      </c>
      <c r="H27" s="21" t="s">
        <v>329</v>
      </c>
      <c r="I27" s="21" t="s">
        <v>330</v>
      </c>
      <c r="J27" s="21" t="s">
        <v>209</v>
      </c>
      <c r="K27" s="21">
        <v>2</v>
      </c>
      <c r="L27" s="21" t="s">
        <v>222</v>
      </c>
      <c r="M27" s="21" t="s">
        <v>211</v>
      </c>
      <c r="N27" s="21" t="s">
        <v>212</v>
      </c>
      <c r="O27" s="21" t="s">
        <v>211</v>
      </c>
      <c r="P27" s="21" t="s">
        <v>211</v>
      </c>
      <c r="Q27" s="21" t="s">
        <v>331</v>
      </c>
      <c r="R27" s="21" t="s">
        <v>213</v>
      </c>
      <c r="S27" s="21" t="s">
        <v>224</v>
      </c>
      <c r="T27" s="21"/>
      <c r="U27" s="21" t="s">
        <v>225</v>
      </c>
    </row>
    <row r="28" spans="1:21" ht="39">
      <c r="A28" s="21" t="s">
        <v>332</v>
      </c>
      <c r="B28" s="21" t="s">
        <v>333</v>
      </c>
      <c r="C28" s="21" t="s">
        <v>334</v>
      </c>
      <c r="D28" s="21" t="s">
        <v>116</v>
      </c>
      <c r="E28" s="21" t="s">
        <v>119</v>
      </c>
      <c r="F28" s="21" t="s">
        <v>205</v>
      </c>
      <c r="G28" s="21" t="s">
        <v>206</v>
      </c>
      <c r="H28" s="21" t="s">
        <v>335</v>
      </c>
      <c r="I28" s="21" t="s">
        <v>336</v>
      </c>
      <c r="J28" s="21" t="s">
        <v>337</v>
      </c>
      <c r="K28" s="21">
        <v>4</v>
      </c>
      <c r="L28" s="21" t="s">
        <v>236</v>
      </c>
      <c r="M28" s="21" t="s">
        <v>211</v>
      </c>
      <c r="N28" s="21" t="s">
        <v>212</v>
      </c>
      <c r="O28" s="21" t="s">
        <v>212</v>
      </c>
      <c r="P28" s="21" t="s">
        <v>211</v>
      </c>
      <c r="Q28" s="21"/>
      <c r="R28" s="21" t="s">
        <v>213</v>
      </c>
      <c r="S28" s="21" t="s">
        <v>224</v>
      </c>
      <c r="T28" s="21"/>
      <c r="U28" s="21" t="s">
        <v>338</v>
      </c>
    </row>
    <row r="29" spans="1:21" ht="39">
      <c r="A29" s="21" t="s">
        <v>339</v>
      </c>
      <c r="B29" s="21" t="s">
        <v>333</v>
      </c>
      <c r="C29" s="21" t="s">
        <v>340</v>
      </c>
      <c r="D29" s="21" t="s">
        <v>152</v>
      </c>
      <c r="E29" s="21" t="s">
        <v>161</v>
      </c>
      <c r="F29" s="21" t="s">
        <v>219</v>
      </c>
      <c r="G29" s="21" t="s">
        <v>206</v>
      </c>
      <c r="H29" s="21" t="s">
        <v>341</v>
      </c>
      <c r="I29" s="21" t="s">
        <v>342</v>
      </c>
      <c r="J29" s="21" t="s">
        <v>337</v>
      </c>
      <c r="K29" s="21">
        <v>4</v>
      </c>
      <c r="L29" s="21" t="s">
        <v>236</v>
      </c>
      <c r="M29" s="21" t="s">
        <v>211</v>
      </c>
      <c r="N29" s="21" t="s">
        <v>212</v>
      </c>
      <c r="O29" s="21" t="s">
        <v>212</v>
      </c>
      <c r="P29" s="21" t="s">
        <v>211</v>
      </c>
      <c r="Q29" s="21"/>
      <c r="R29" s="21" t="s">
        <v>213</v>
      </c>
      <c r="S29" s="21" t="s">
        <v>224</v>
      </c>
      <c r="T29" s="21"/>
      <c r="U29" s="21" t="s">
        <v>338</v>
      </c>
    </row>
    <row r="30" spans="1:21">
      <c r="A30" s="21"/>
      <c r="B30" s="21"/>
      <c r="C30" s="21"/>
      <c r="D30" s="21"/>
      <c r="E30" s="21"/>
      <c r="F30" s="21"/>
      <c r="G30" s="21"/>
      <c r="H30" s="21"/>
      <c r="I30" s="21"/>
      <c r="J30" s="21"/>
      <c r="K30" s="21"/>
      <c r="L30" s="21"/>
      <c r="M30" s="21"/>
      <c r="N30" s="21"/>
      <c r="O30" s="21"/>
      <c r="P30" s="21"/>
      <c r="Q30" s="21"/>
      <c r="R30" s="21"/>
      <c r="S30" s="21"/>
      <c r="T30" s="21"/>
      <c r="U30" s="21"/>
    </row>
    <row r="31" spans="1:21">
      <c r="A31" s="21"/>
      <c r="B31" s="21"/>
      <c r="C31" s="21"/>
      <c r="D31" s="21"/>
      <c r="E31" s="21"/>
      <c r="F31" s="21"/>
      <c r="G31" s="21"/>
      <c r="H31" s="21"/>
      <c r="I31" s="21"/>
      <c r="J31" s="21"/>
      <c r="K31" s="21"/>
      <c r="L31" s="21"/>
      <c r="M31" s="21"/>
      <c r="N31" s="21"/>
      <c r="O31" s="21"/>
      <c r="P31" s="21"/>
      <c r="Q31" s="21"/>
      <c r="R31" s="21"/>
      <c r="S31" s="21"/>
      <c r="T31" s="21"/>
      <c r="U31" s="21"/>
    </row>
    <row r="32" spans="1:21">
      <c r="A32" s="21"/>
      <c r="B32" s="21"/>
      <c r="C32" s="21"/>
      <c r="D32" s="21"/>
      <c r="E32" s="21"/>
      <c r="F32" s="21"/>
      <c r="G32" s="21"/>
      <c r="H32" s="21"/>
      <c r="I32" s="21"/>
      <c r="J32" s="21"/>
      <c r="K32" s="21"/>
      <c r="L32" s="21"/>
      <c r="M32" s="21"/>
      <c r="N32" s="21"/>
      <c r="O32" s="21"/>
      <c r="P32" s="21"/>
      <c r="Q32" s="21"/>
      <c r="R32" s="21"/>
      <c r="S32" s="21"/>
      <c r="T32" s="21"/>
      <c r="U32" s="21"/>
    </row>
    <row r="33" spans="1:21">
      <c r="A33" s="21"/>
      <c r="B33" s="21"/>
      <c r="C33" s="21"/>
      <c r="D33" s="21"/>
      <c r="E33" s="21"/>
      <c r="F33" s="21"/>
      <c r="G33" s="21"/>
      <c r="H33" s="21"/>
      <c r="I33" s="21"/>
      <c r="J33" s="21"/>
      <c r="K33" s="21"/>
      <c r="L33" s="21"/>
      <c r="M33" s="21"/>
      <c r="N33" s="21"/>
      <c r="O33" s="21"/>
      <c r="P33" s="21"/>
      <c r="Q33" s="21"/>
      <c r="R33" s="21"/>
      <c r="S33" s="21"/>
      <c r="T33" s="21"/>
      <c r="U33" s="21"/>
    </row>
    <row r="34" spans="1:21">
      <c r="A34" s="21"/>
      <c r="B34" s="21"/>
      <c r="C34" s="21"/>
      <c r="D34" s="21"/>
      <c r="E34" s="21"/>
      <c r="F34" s="21"/>
      <c r="G34" s="21"/>
      <c r="H34" s="21"/>
      <c r="I34" s="21"/>
      <c r="J34" s="21"/>
      <c r="K34" s="21"/>
      <c r="L34" s="21"/>
      <c r="M34" s="21"/>
      <c r="N34" s="21"/>
      <c r="O34" s="21"/>
      <c r="P34" s="21"/>
      <c r="Q34" s="21"/>
      <c r="R34" s="21"/>
      <c r="S34" s="21"/>
      <c r="T34" s="21"/>
      <c r="U34" s="21"/>
    </row>
    <row r="35" spans="1:21">
      <c r="A35" s="21"/>
      <c r="B35" s="21"/>
      <c r="C35" s="21"/>
      <c r="D35" s="21"/>
      <c r="E35" s="21"/>
      <c r="F35" s="21"/>
      <c r="G35" s="21"/>
      <c r="H35" s="21"/>
      <c r="I35" s="21"/>
      <c r="J35" s="21"/>
      <c r="K35" s="21"/>
      <c r="L35" s="21"/>
      <c r="M35" s="21"/>
      <c r="N35" s="21"/>
      <c r="O35" s="21"/>
      <c r="P35" s="21"/>
      <c r="Q35" s="21"/>
      <c r="R35" s="21"/>
      <c r="S35" s="21"/>
      <c r="T35" s="21"/>
      <c r="U35" s="21"/>
    </row>
    <row r="36" spans="1:21">
      <c r="A36" s="21"/>
      <c r="B36" s="21"/>
      <c r="C36" s="21"/>
      <c r="D36" s="21"/>
      <c r="E36" s="21"/>
      <c r="F36" s="21"/>
      <c r="G36" s="21"/>
      <c r="H36" s="21"/>
      <c r="I36" s="21"/>
      <c r="J36" s="21"/>
      <c r="K36" s="21"/>
      <c r="L36" s="21"/>
      <c r="M36" s="21"/>
      <c r="N36" s="21"/>
      <c r="O36" s="21"/>
      <c r="P36" s="21"/>
      <c r="Q36" s="21"/>
      <c r="R36" s="21"/>
      <c r="S36" s="21"/>
      <c r="T36" s="21"/>
      <c r="U36" s="21"/>
    </row>
    <row r="37" spans="1:21">
      <c r="A37" s="21"/>
      <c r="B37" s="21"/>
      <c r="C37" s="21"/>
      <c r="D37" s="21"/>
      <c r="E37" s="21"/>
      <c r="F37" s="21"/>
      <c r="G37" s="21"/>
      <c r="H37" s="21"/>
      <c r="I37" s="21"/>
      <c r="J37" s="21"/>
      <c r="K37" s="21"/>
      <c r="L37" s="21"/>
      <c r="M37" s="21"/>
      <c r="N37" s="21"/>
      <c r="O37" s="21"/>
      <c r="P37" s="21"/>
      <c r="Q37" s="21"/>
      <c r="R37" s="21"/>
      <c r="S37" s="21"/>
      <c r="T37" s="21"/>
      <c r="U37" s="21"/>
    </row>
    <row r="38" spans="1:21">
      <c r="A38" s="21"/>
      <c r="B38" s="21"/>
      <c r="C38" s="21"/>
      <c r="D38" s="21"/>
      <c r="E38" s="21"/>
      <c r="F38" s="21"/>
      <c r="G38" s="21"/>
      <c r="H38" s="21"/>
      <c r="I38" s="21"/>
      <c r="J38" s="21"/>
      <c r="K38" s="21"/>
      <c r="L38" s="21"/>
      <c r="M38" s="21"/>
      <c r="N38" s="21"/>
      <c r="O38" s="21"/>
      <c r="P38" s="21"/>
      <c r="Q38" s="21"/>
      <c r="R38" s="21"/>
      <c r="S38" s="21"/>
      <c r="T38" s="21"/>
      <c r="U38" s="21"/>
    </row>
    <row r="39" spans="1:21">
      <c r="A39" s="21"/>
      <c r="B39" s="21"/>
      <c r="C39" s="21"/>
      <c r="D39" s="21"/>
      <c r="E39" s="21"/>
      <c r="F39" s="21"/>
      <c r="G39" s="21"/>
      <c r="H39" s="21"/>
      <c r="I39" s="21"/>
      <c r="J39" s="21"/>
      <c r="K39" s="21"/>
      <c r="L39" s="21"/>
      <c r="M39" s="21"/>
      <c r="N39" s="21"/>
      <c r="O39" s="21"/>
      <c r="P39" s="21"/>
      <c r="Q39" s="21"/>
      <c r="R39" s="21"/>
      <c r="S39" s="21"/>
      <c r="T39" s="21"/>
      <c r="U39" s="21"/>
    </row>
    <row r="40" spans="1:21">
      <c r="A40" s="21"/>
      <c r="B40" s="21"/>
      <c r="C40" s="21"/>
      <c r="D40" s="21"/>
      <c r="E40" s="21"/>
      <c r="F40" s="21"/>
      <c r="G40" s="21"/>
      <c r="H40" s="21"/>
      <c r="I40" s="21"/>
      <c r="J40" s="21"/>
      <c r="K40" s="21"/>
      <c r="L40" s="21"/>
      <c r="M40" s="21"/>
      <c r="N40" s="21"/>
      <c r="O40" s="21"/>
      <c r="P40" s="21"/>
      <c r="Q40" s="21"/>
      <c r="R40" s="21"/>
      <c r="S40" s="21"/>
      <c r="T40" s="21"/>
      <c r="U40" s="21"/>
    </row>
    <row r="41" spans="1:21">
      <c r="A41" s="21"/>
      <c r="B41" s="21"/>
      <c r="C41" s="21"/>
      <c r="D41" s="21"/>
      <c r="E41" s="21"/>
      <c r="F41" s="21"/>
      <c r="G41" s="21"/>
      <c r="H41" s="21"/>
      <c r="I41" s="21"/>
      <c r="J41" s="21"/>
      <c r="K41" s="21"/>
      <c r="L41" s="21"/>
      <c r="M41" s="21"/>
      <c r="N41" s="21"/>
      <c r="O41" s="21"/>
      <c r="P41" s="21"/>
      <c r="Q41" s="21"/>
      <c r="R41" s="21"/>
      <c r="S41" s="21"/>
      <c r="T41" s="21"/>
      <c r="U41" s="21"/>
    </row>
    <row r="42" spans="1:21">
      <c r="A42" s="21"/>
      <c r="B42" s="21"/>
      <c r="C42" s="21"/>
      <c r="D42" s="21"/>
      <c r="E42" s="21"/>
      <c r="F42" s="21"/>
      <c r="G42" s="21"/>
      <c r="H42" s="21"/>
      <c r="I42" s="21"/>
      <c r="J42" s="21"/>
      <c r="K42" s="21"/>
      <c r="L42" s="21"/>
      <c r="M42" s="21"/>
      <c r="N42" s="21"/>
      <c r="O42" s="21"/>
      <c r="P42" s="21"/>
      <c r="Q42" s="21"/>
      <c r="R42" s="21"/>
      <c r="S42" s="21"/>
      <c r="T42" s="21"/>
      <c r="U42" s="21"/>
    </row>
    <row r="43" spans="1:21">
      <c r="A43" s="21"/>
      <c r="B43" s="21"/>
      <c r="C43" s="21"/>
      <c r="D43" s="21"/>
      <c r="E43" s="21"/>
      <c r="F43" s="21"/>
      <c r="G43" s="21"/>
      <c r="H43" s="21"/>
      <c r="I43" s="21"/>
      <c r="J43" s="21"/>
      <c r="K43" s="21"/>
      <c r="L43" s="21"/>
      <c r="M43" s="21"/>
      <c r="N43" s="21"/>
      <c r="O43" s="21"/>
      <c r="P43" s="21"/>
      <c r="Q43" s="21"/>
      <c r="R43" s="21"/>
      <c r="S43" s="21"/>
      <c r="T43" s="21"/>
      <c r="U43" s="21"/>
    </row>
    <row r="44" spans="1:21">
      <c r="A44" s="21"/>
      <c r="B44" s="21"/>
      <c r="C44" s="21"/>
      <c r="D44" s="21"/>
      <c r="E44" s="21"/>
      <c r="F44" s="21"/>
      <c r="G44" s="21"/>
      <c r="H44" s="21"/>
      <c r="I44" s="21"/>
      <c r="J44" s="21"/>
      <c r="K44" s="21"/>
      <c r="L44" s="21"/>
      <c r="M44" s="21"/>
      <c r="N44" s="21"/>
      <c r="O44" s="21"/>
      <c r="P44" s="21"/>
      <c r="Q44" s="21"/>
      <c r="R44" s="21"/>
      <c r="S44" s="21"/>
      <c r="T44" s="21"/>
      <c r="U44" s="21"/>
    </row>
    <row r="45" spans="1:21">
      <c r="A45" s="21"/>
      <c r="B45" s="21"/>
      <c r="C45" s="21"/>
      <c r="D45" s="21"/>
      <c r="E45" s="21"/>
      <c r="F45" s="21"/>
      <c r="G45" s="21"/>
      <c r="H45" s="21"/>
      <c r="I45" s="21"/>
      <c r="J45" s="21"/>
      <c r="K45" s="21"/>
      <c r="L45" s="21"/>
      <c r="M45" s="21"/>
      <c r="N45" s="21"/>
      <c r="O45" s="21"/>
      <c r="P45" s="21"/>
      <c r="Q45" s="21"/>
      <c r="R45" s="21"/>
      <c r="S45" s="21"/>
      <c r="T45" s="21"/>
      <c r="U45" s="21"/>
    </row>
    <row r="46" spans="1:21">
      <c r="A46" s="21"/>
      <c r="B46" s="21"/>
      <c r="C46" s="21"/>
      <c r="D46" s="21"/>
      <c r="E46" s="21"/>
      <c r="F46" s="21"/>
      <c r="G46" s="21"/>
      <c r="H46" s="21"/>
      <c r="I46" s="21"/>
      <c r="J46" s="21"/>
      <c r="K46" s="21"/>
      <c r="L46" s="21"/>
      <c r="M46" s="21"/>
      <c r="N46" s="21"/>
      <c r="O46" s="21"/>
      <c r="P46" s="21"/>
      <c r="Q46" s="21"/>
      <c r="R46" s="21"/>
      <c r="S46" s="21"/>
      <c r="T46" s="21"/>
      <c r="U46" s="21"/>
    </row>
    <row r="47" spans="1:21">
      <c r="A47" s="21"/>
      <c r="B47" s="21"/>
      <c r="C47" s="21"/>
      <c r="D47" s="21"/>
      <c r="E47" s="21"/>
      <c r="F47" s="21"/>
      <c r="G47" s="21"/>
      <c r="H47" s="21"/>
      <c r="I47" s="21"/>
      <c r="J47" s="21"/>
      <c r="K47" s="21"/>
      <c r="L47" s="21"/>
      <c r="M47" s="21"/>
      <c r="N47" s="21"/>
      <c r="O47" s="21"/>
      <c r="P47" s="21"/>
      <c r="Q47" s="21"/>
      <c r="R47" s="21"/>
      <c r="S47" s="21"/>
      <c r="T47" s="21"/>
      <c r="U47" s="21"/>
    </row>
    <row r="48" spans="1:21">
      <c r="A48" s="21"/>
      <c r="B48" s="21"/>
      <c r="C48" s="21"/>
      <c r="D48" s="21"/>
      <c r="E48" s="21"/>
      <c r="F48" s="21"/>
      <c r="G48" s="21"/>
      <c r="H48" s="21"/>
      <c r="I48" s="21"/>
      <c r="J48" s="21"/>
      <c r="K48" s="21"/>
      <c r="L48" s="21"/>
      <c r="M48" s="21"/>
      <c r="N48" s="21"/>
      <c r="O48" s="21"/>
      <c r="P48" s="21"/>
      <c r="Q48" s="21"/>
      <c r="R48" s="21"/>
      <c r="S48" s="21"/>
      <c r="T48" s="21"/>
      <c r="U48" s="21"/>
    </row>
    <row r="49" spans="1:21">
      <c r="A49" s="21"/>
      <c r="B49" s="21"/>
      <c r="C49" s="21"/>
      <c r="D49" s="21"/>
      <c r="E49" s="21"/>
      <c r="F49" s="21"/>
      <c r="G49" s="21"/>
      <c r="H49" s="21"/>
      <c r="I49" s="21"/>
      <c r="J49" s="21"/>
      <c r="K49" s="21"/>
      <c r="L49" s="21"/>
      <c r="M49" s="21"/>
      <c r="N49" s="21"/>
      <c r="O49" s="21"/>
      <c r="P49" s="21"/>
      <c r="Q49" s="21"/>
      <c r="R49" s="21"/>
      <c r="S49" s="21"/>
      <c r="T49" s="21"/>
      <c r="U49" s="21"/>
    </row>
    <row r="50" spans="1:21">
      <c r="A50" s="21"/>
      <c r="B50" s="21"/>
      <c r="C50" s="21"/>
      <c r="D50" s="21"/>
      <c r="E50" s="21"/>
      <c r="F50" s="21"/>
      <c r="G50" s="21"/>
      <c r="H50" s="21"/>
      <c r="I50" s="21"/>
      <c r="J50" s="21"/>
      <c r="K50" s="21"/>
      <c r="L50" s="21"/>
      <c r="M50" s="21"/>
      <c r="N50" s="21"/>
      <c r="O50" s="21"/>
      <c r="P50" s="21"/>
      <c r="Q50" s="21"/>
      <c r="R50" s="21"/>
      <c r="S50" s="21"/>
      <c r="T50" s="21"/>
      <c r="U50" s="21"/>
    </row>
    <row r="51" spans="1:21">
      <c r="A51" s="21"/>
      <c r="B51" s="21"/>
      <c r="C51" s="21"/>
      <c r="D51" s="21"/>
      <c r="E51" s="21"/>
      <c r="F51" s="21"/>
      <c r="G51" s="21"/>
      <c r="H51" s="21"/>
      <c r="I51" s="21"/>
      <c r="J51" s="21"/>
      <c r="K51" s="21"/>
      <c r="L51" s="21"/>
      <c r="M51" s="21"/>
      <c r="N51" s="21"/>
      <c r="O51" s="21"/>
      <c r="P51" s="21"/>
      <c r="Q51" s="21"/>
      <c r="R51" s="21"/>
      <c r="S51" s="21"/>
      <c r="T51" s="21"/>
      <c r="U51" s="21"/>
    </row>
    <row r="52" spans="1:21">
      <c r="A52" s="21"/>
      <c r="B52" s="21"/>
      <c r="C52" s="21"/>
      <c r="D52" s="21"/>
      <c r="E52" s="21"/>
      <c r="F52" s="21"/>
      <c r="G52" s="21"/>
      <c r="H52" s="21"/>
      <c r="I52" s="21"/>
      <c r="J52" s="21"/>
      <c r="K52" s="21"/>
      <c r="L52" s="21"/>
      <c r="M52" s="21"/>
      <c r="N52" s="21"/>
      <c r="O52" s="21"/>
      <c r="P52" s="21"/>
      <c r="Q52" s="21"/>
      <c r="R52" s="21"/>
      <c r="S52" s="21"/>
      <c r="T52" s="21"/>
      <c r="U52" s="21"/>
    </row>
    <row r="53" spans="1:21">
      <c r="A53" s="21"/>
      <c r="B53" s="21"/>
      <c r="C53" s="21"/>
      <c r="D53" s="21"/>
      <c r="E53" s="21"/>
      <c r="F53" s="21"/>
      <c r="G53" s="21"/>
      <c r="H53" s="21"/>
      <c r="I53" s="21"/>
      <c r="J53" s="21"/>
      <c r="K53" s="21"/>
      <c r="L53" s="21"/>
      <c r="M53" s="21"/>
      <c r="N53" s="21"/>
      <c r="O53" s="21"/>
      <c r="P53" s="21"/>
      <c r="Q53" s="21"/>
      <c r="R53" s="21"/>
      <c r="S53" s="21"/>
      <c r="T53" s="21"/>
      <c r="U53" s="21"/>
    </row>
    <row r="54" spans="1:21">
      <c r="A54" s="21"/>
      <c r="B54" s="21"/>
      <c r="C54" s="21"/>
      <c r="D54" s="21"/>
      <c r="E54" s="21"/>
      <c r="F54" s="21"/>
      <c r="G54" s="21"/>
      <c r="H54" s="21"/>
      <c r="I54" s="21"/>
      <c r="J54" s="21"/>
      <c r="K54" s="21"/>
      <c r="L54" s="21"/>
      <c r="M54" s="21"/>
      <c r="N54" s="21"/>
      <c r="O54" s="21"/>
      <c r="P54" s="21"/>
      <c r="Q54" s="21"/>
      <c r="R54" s="21"/>
      <c r="S54" s="21"/>
      <c r="T54" s="21"/>
      <c r="U54" s="21"/>
    </row>
    <row r="55" spans="1:21">
      <c r="A55" s="21"/>
      <c r="B55" s="21"/>
      <c r="C55" s="21"/>
      <c r="D55" s="21"/>
      <c r="E55" s="21"/>
      <c r="F55" s="21"/>
      <c r="G55" s="21"/>
      <c r="H55" s="21"/>
      <c r="I55" s="21"/>
      <c r="J55" s="21"/>
      <c r="K55" s="21"/>
      <c r="L55" s="21"/>
      <c r="M55" s="21"/>
      <c r="N55" s="21"/>
      <c r="O55" s="21"/>
      <c r="P55" s="21"/>
      <c r="Q55" s="21"/>
      <c r="R55" s="21"/>
      <c r="S55" s="21"/>
      <c r="T55" s="21"/>
      <c r="U55" s="21"/>
    </row>
  </sheetData>
  <mergeCells count="2">
    <mergeCell ref="A1:U1"/>
    <mergeCell ref="A2:U2"/>
  </mergeCells>
  <phoneticPr fontId="13" type="noConversion"/>
  <dataValidations count="5">
    <dataValidation type="list" sqref="J6:J55" xr:uid="{00000000-0002-0000-0300-000002000000}">
      <formula1>"Digital PDF,Scanned PDF,Mixed PDF,HTML"</formula1>
    </dataValidation>
    <dataValidation type="list" sqref="L6:L55" xr:uid="{00000000-0002-0000-0300-000003000000}">
      <formula1>"Low,Medium,High"</formula1>
    </dataValidation>
    <dataValidation type="list" sqref="M6:P55" xr:uid="{00000000-0002-0000-0300-000004000000}">
      <formula1>"Yes,No"</formula1>
    </dataValidation>
    <dataValidation type="list" sqref="R6:R55" xr:uid="{00000000-0002-0000-0300-000008000000}">
      <formula1>"Draft,Annotated,In Review,Approved,Rejected"</formula1>
    </dataValidation>
    <dataValidation type="whole" sqref="K6:K55" xr:uid="{00000000-0002-0000-0300-000009000000}">
      <formula1>1</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300-000000000000}">
          <x14:formula1>
            <xm:f>枚举选项!$A$5:$A$13</xm:f>
          </x14:formula1>
          <xm:sqref>D6:D55</xm:sqref>
        </x14:dataValidation>
        <x14:dataValidation type="list" xr:uid="{00000000-0002-0000-0300-000001000000}">
          <x14:formula1>
            <xm:f>枚举选项!$B$5:$B$34</xm:f>
          </x14:formula1>
          <xm:sqref>E6:E55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86"/>
  <sheetViews>
    <sheetView showGridLines="0" tabSelected="1" topLeftCell="I367" workbookViewId="0">
      <selection activeCell="O388" sqref="O388"/>
    </sheetView>
  </sheetViews>
  <sheetFormatPr defaultRowHeight="14"/>
  <cols>
    <col min="1" max="1" width="17" customWidth="1"/>
    <col min="2" max="2" width="16" customWidth="1"/>
    <col min="3" max="3" width="30" customWidth="1"/>
    <col min="4" max="4" width="20" customWidth="1"/>
    <col min="5" max="5" width="30" customWidth="1"/>
    <col min="6" max="6" width="16" customWidth="1"/>
    <col min="7" max="7" width="12" customWidth="1"/>
    <col min="8" max="8" width="34" customWidth="1"/>
    <col min="9" max="9" width="10" customWidth="1"/>
    <col min="10" max="10" width="52" customWidth="1"/>
    <col min="11" max="11" width="20" customWidth="1"/>
    <col min="12" max="15" width="16" customWidth="1"/>
    <col min="16" max="16" width="18" customWidth="1"/>
    <col min="17" max="17" width="36" customWidth="1"/>
  </cols>
  <sheetData>
    <row r="1" spans="1:17" ht="34" customHeight="1">
      <c r="A1" s="41" t="s">
        <v>343</v>
      </c>
      <c r="B1" s="41"/>
      <c r="C1" s="41"/>
      <c r="D1" s="41"/>
      <c r="E1" s="41"/>
      <c r="F1" s="41"/>
      <c r="G1" s="41"/>
      <c r="H1" s="41"/>
      <c r="I1" s="41"/>
      <c r="J1" s="41"/>
      <c r="K1" s="41"/>
      <c r="L1" s="41"/>
      <c r="M1" s="41"/>
      <c r="N1" s="41"/>
      <c r="O1" s="41"/>
      <c r="P1" s="41"/>
      <c r="Q1" s="41"/>
    </row>
    <row r="2" spans="1:17" ht="28" customHeight="1">
      <c r="A2" s="42" t="s">
        <v>344</v>
      </c>
      <c r="B2" s="42"/>
      <c r="C2" s="42"/>
      <c r="D2" s="42"/>
      <c r="E2" s="42"/>
      <c r="F2" s="42"/>
      <c r="G2" s="42"/>
      <c r="H2" s="42"/>
      <c r="I2" s="42"/>
      <c r="J2" s="42"/>
      <c r="K2" s="42"/>
      <c r="L2" s="42"/>
      <c r="M2" s="42"/>
      <c r="N2" s="42"/>
      <c r="O2" s="42"/>
      <c r="P2" s="42"/>
      <c r="Q2" s="42"/>
    </row>
    <row r="3" spans="1:17" ht="14.5">
      <c r="A3" s="1"/>
      <c r="B3" s="1"/>
      <c r="C3" s="1"/>
      <c r="D3" s="1"/>
      <c r="E3" s="1"/>
      <c r="F3" s="1"/>
      <c r="G3" s="1"/>
      <c r="H3" s="1"/>
      <c r="I3" s="1"/>
      <c r="J3" s="1"/>
      <c r="K3" s="1"/>
      <c r="L3" s="1"/>
      <c r="M3" s="1"/>
      <c r="N3" s="1"/>
      <c r="O3" s="1"/>
      <c r="P3" s="1"/>
      <c r="Q3" s="1"/>
    </row>
    <row r="4" spans="1:17" ht="14.5">
      <c r="A4" s="1"/>
      <c r="B4" s="1"/>
      <c r="C4" s="1"/>
      <c r="D4" s="1"/>
      <c r="E4" s="1"/>
      <c r="F4" s="1"/>
      <c r="G4" s="1"/>
      <c r="H4" s="1"/>
      <c r="I4" s="1"/>
      <c r="J4" s="1"/>
      <c r="K4" s="1"/>
      <c r="L4" s="1"/>
      <c r="M4" s="1"/>
      <c r="N4" s="1"/>
      <c r="O4" s="1"/>
      <c r="P4" s="1"/>
      <c r="Q4" s="1"/>
    </row>
    <row r="5" spans="1:17" ht="32" customHeight="1">
      <c r="A5" s="3" t="s">
        <v>345</v>
      </c>
      <c r="B5" s="4" t="s">
        <v>182</v>
      </c>
      <c r="C5" s="4" t="s">
        <v>346</v>
      </c>
      <c r="D5" s="4" t="s">
        <v>347</v>
      </c>
      <c r="E5" s="4" t="s">
        <v>348</v>
      </c>
      <c r="F5" s="4" t="s">
        <v>349</v>
      </c>
      <c r="G5" s="4" t="s">
        <v>350</v>
      </c>
      <c r="H5" s="4" t="s">
        <v>351</v>
      </c>
      <c r="I5" s="4" t="s">
        <v>352</v>
      </c>
      <c r="J5" s="4" t="s">
        <v>353</v>
      </c>
      <c r="K5" s="4" t="s">
        <v>354</v>
      </c>
      <c r="L5" s="4" t="s">
        <v>355</v>
      </c>
      <c r="M5" s="4" t="s">
        <v>356</v>
      </c>
      <c r="N5" s="4" t="s">
        <v>199</v>
      </c>
      <c r="O5" s="4" t="s">
        <v>200</v>
      </c>
      <c r="P5" s="4" t="s">
        <v>357</v>
      </c>
      <c r="Q5" s="5" t="s">
        <v>201</v>
      </c>
    </row>
    <row r="6" spans="1:17" ht="44" customHeight="1">
      <c r="A6" s="18" t="s">
        <v>358</v>
      </c>
      <c r="B6" s="18" t="s">
        <v>202</v>
      </c>
      <c r="C6" s="18" t="s">
        <v>359</v>
      </c>
      <c r="D6" s="18" t="s">
        <v>360</v>
      </c>
      <c r="E6" s="33" t="s">
        <v>361</v>
      </c>
      <c r="F6" s="18" t="s">
        <v>362</v>
      </c>
      <c r="G6" s="18"/>
      <c r="H6" s="18" t="s">
        <v>363</v>
      </c>
      <c r="I6" s="19">
        <v>7</v>
      </c>
      <c r="J6" s="18" t="s">
        <v>364</v>
      </c>
      <c r="K6" s="18" t="s">
        <v>365</v>
      </c>
      <c r="L6" s="18" t="s">
        <v>366</v>
      </c>
      <c r="M6" s="18" t="s">
        <v>211</v>
      </c>
      <c r="N6" s="18" t="s">
        <v>214</v>
      </c>
      <c r="O6" s="18"/>
      <c r="P6" s="18" t="s">
        <v>1806</v>
      </c>
      <c r="Q6" s="18" t="s">
        <v>367</v>
      </c>
    </row>
    <row r="7" spans="1:17" ht="44" customHeight="1">
      <c r="A7" s="21" t="s">
        <v>368</v>
      </c>
      <c r="B7" s="21" t="s">
        <v>202</v>
      </c>
      <c r="C7" s="21" t="s">
        <v>369</v>
      </c>
      <c r="D7" s="21" t="s">
        <v>360</v>
      </c>
      <c r="E7" s="34">
        <v>4</v>
      </c>
      <c r="F7" s="21" t="s">
        <v>370</v>
      </c>
      <c r="G7" s="21"/>
      <c r="H7" s="21" t="s">
        <v>371</v>
      </c>
      <c r="I7" s="22">
        <v>7</v>
      </c>
      <c r="J7" s="21" t="s">
        <v>372</v>
      </c>
      <c r="K7" s="21" t="s">
        <v>365</v>
      </c>
      <c r="L7" s="21" t="s">
        <v>366</v>
      </c>
      <c r="M7" s="21" t="s">
        <v>211</v>
      </c>
      <c r="N7" s="21" t="s">
        <v>214</v>
      </c>
      <c r="O7" s="21"/>
      <c r="P7" s="21" t="s">
        <v>1806</v>
      </c>
      <c r="Q7" s="21" t="s">
        <v>367</v>
      </c>
    </row>
    <row r="8" spans="1:17" ht="44" customHeight="1">
      <c r="A8" s="21" t="s">
        <v>373</v>
      </c>
      <c r="B8" s="21" t="s">
        <v>202</v>
      </c>
      <c r="C8" s="21" t="s">
        <v>374</v>
      </c>
      <c r="D8" s="21" t="s">
        <v>360</v>
      </c>
      <c r="E8" s="34">
        <v>688</v>
      </c>
      <c r="F8" s="21" t="s">
        <v>370</v>
      </c>
      <c r="G8" s="21" t="s">
        <v>375</v>
      </c>
      <c r="H8" s="21" t="s">
        <v>376</v>
      </c>
      <c r="I8" s="22">
        <v>8</v>
      </c>
      <c r="J8" s="21" t="s">
        <v>377</v>
      </c>
      <c r="K8" s="21" t="s">
        <v>378</v>
      </c>
      <c r="L8" s="21" t="s">
        <v>366</v>
      </c>
      <c r="M8" s="21" t="s">
        <v>211</v>
      </c>
      <c r="N8" s="21" t="s">
        <v>214</v>
      </c>
      <c r="O8" s="21"/>
      <c r="P8" s="21" t="s">
        <v>1806</v>
      </c>
      <c r="Q8" s="21" t="s">
        <v>367</v>
      </c>
    </row>
    <row r="9" spans="1:17" ht="44" customHeight="1">
      <c r="A9" s="21" t="s">
        <v>379</v>
      </c>
      <c r="B9" s="21" t="s">
        <v>202</v>
      </c>
      <c r="C9" s="21" t="s">
        <v>380</v>
      </c>
      <c r="D9" s="21" t="s">
        <v>360</v>
      </c>
      <c r="E9" s="34">
        <v>2882</v>
      </c>
      <c r="F9" s="21" t="s">
        <v>370</v>
      </c>
      <c r="G9" s="21" t="s">
        <v>375</v>
      </c>
      <c r="H9" s="21" t="s">
        <v>381</v>
      </c>
      <c r="I9" s="22">
        <v>7</v>
      </c>
      <c r="J9" s="21" t="s">
        <v>382</v>
      </c>
      <c r="K9" s="21" t="s">
        <v>383</v>
      </c>
      <c r="L9" s="21" t="s">
        <v>366</v>
      </c>
      <c r="M9" s="21" t="s">
        <v>211</v>
      </c>
      <c r="N9" s="21" t="s">
        <v>214</v>
      </c>
      <c r="O9" s="21"/>
      <c r="P9" s="21" t="s">
        <v>1806</v>
      </c>
      <c r="Q9" s="21" t="s">
        <v>367</v>
      </c>
    </row>
    <row r="10" spans="1:17" ht="44" customHeight="1">
      <c r="A10" s="21" t="s">
        <v>384</v>
      </c>
      <c r="B10" s="21" t="s">
        <v>202</v>
      </c>
      <c r="C10" s="21" t="s">
        <v>385</v>
      </c>
      <c r="D10" s="21" t="s">
        <v>386</v>
      </c>
      <c r="E10" s="34"/>
      <c r="F10" s="21" t="s">
        <v>370</v>
      </c>
      <c r="G10" s="21" t="s">
        <v>375</v>
      </c>
      <c r="H10" s="21" t="s">
        <v>212</v>
      </c>
      <c r="I10" s="22">
        <v>7</v>
      </c>
      <c r="J10" s="21" t="s">
        <v>387</v>
      </c>
      <c r="K10" s="21" t="s">
        <v>388</v>
      </c>
      <c r="L10" s="21" t="s">
        <v>366</v>
      </c>
      <c r="M10" s="21" t="s">
        <v>211</v>
      </c>
      <c r="N10" s="21" t="s">
        <v>214</v>
      </c>
      <c r="O10" s="21"/>
      <c r="P10" s="21" t="s">
        <v>1806</v>
      </c>
      <c r="Q10" s="21" t="s">
        <v>367</v>
      </c>
    </row>
    <row r="11" spans="1:17" ht="44" customHeight="1">
      <c r="A11" s="21" t="s">
        <v>389</v>
      </c>
      <c r="B11" s="21" t="s">
        <v>202</v>
      </c>
      <c r="C11" s="21" t="s">
        <v>390</v>
      </c>
      <c r="D11" s="21" t="s">
        <v>360</v>
      </c>
      <c r="E11" s="34">
        <v>160</v>
      </c>
      <c r="F11" s="21" t="s">
        <v>370</v>
      </c>
      <c r="G11" s="21" t="s">
        <v>391</v>
      </c>
      <c r="H11" s="21" t="s">
        <v>392</v>
      </c>
      <c r="I11" s="22">
        <v>7</v>
      </c>
      <c r="J11" s="21" t="s">
        <v>393</v>
      </c>
      <c r="K11" s="21" t="s">
        <v>394</v>
      </c>
      <c r="L11" s="21" t="s">
        <v>366</v>
      </c>
      <c r="M11" s="21" t="s">
        <v>211</v>
      </c>
      <c r="N11" s="21" t="s">
        <v>214</v>
      </c>
      <c r="O11" s="21"/>
      <c r="P11" s="21" t="s">
        <v>1806</v>
      </c>
      <c r="Q11" s="21" t="s">
        <v>367</v>
      </c>
    </row>
    <row r="12" spans="1:17" ht="44" customHeight="1">
      <c r="A12" s="21" t="s">
        <v>395</v>
      </c>
      <c r="B12" s="21" t="s">
        <v>202</v>
      </c>
      <c r="C12" s="21" t="s">
        <v>396</v>
      </c>
      <c r="D12" s="21" t="s">
        <v>360</v>
      </c>
      <c r="E12" s="34" t="s">
        <v>397</v>
      </c>
      <c r="F12" s="21" t="s">
        <v>362</v>
      </c>
      <c r="G12" s="21"/>
      <c r="H12" s="21" t="s">
        <v>398</v>
      </c>
      <c r="I12" s="22">
        <v>10</v>
      </c>
      <c r="J12" s="21" t="s">
        <v>399</v>
      </c>
      <c r="K12" s="21" t="s">
        <v>365</v>
      </c>
      <c r="L12" s="21" t="s">
        <v>366</v>
      </c>
      <c r="M12" s="21" t="s">
        <v>211</v>
      </c>
      <c r="N12" s="21" t="s">
        <v>214</v>
      </c>
      <c r="O12" s="21"/>
      <c r="P12" s="21" t="s">
        <v>1806</v>
      </c>
      <c r="Q12" s="21" t="s">
        <v>367</v>
      </c>
    </row>
    <row r="13" spans="1:17" ht="44" customHeight="1">
      <c r="A13" s="21" t="s">
        <v>400</v>
      </c>
      <c r="B13" s="21" t="s">
        <v>202</v>
      </c>
      <c r="C13" s="21" t="s">
        <v>401</v>
      </c>
      <c r="D13" s="21" t="s">
        <v>360</v>
      </c>
      <c r="E13" s="34" t="s">
        <v>402</v>
      </c>
      <c r="F13" s="21" t="s">
        <v>362</v>
      </c>
      <c r="G13" s="21"/>
      <c r="H13" s="21" t="s">
        <v>402</v>
      </c>
      <c r="I13" s="22">
        <v>10</v>
      </c>
      <c r="J13" s="21" t="s">
        <v>403</v>
      </c>
      <c r="K13" s="21" t="s">
        <v>365</v>
      </c>
      <c r="L13" s="21" t="s">
        <v>366</v>
      </c>
      <c r="M13" s="21" t="s">
        <v>211</v>
      </c>
      <c r="N13" s="21" t="s">
        <v>214</v>
      </c>
      <c r="O13" s="21"/>
      <c r="P13" s="21" t="s">
        <v>1806</v>
      </c>
      <c r="Q13" s="21" t="s">
        <v>367</v>
      </c>
    </row>
    <row r="14" spans="1:17" ht="44" customHeight="1">
      <c r="A14" s="21" t="s">
        <v>404</v>
      </c>
      <c r="B14" s="21" t="s">
        <v>202</v>
      </c>
      <c r="C14" s="21" t="s">
        <v>405</v>
      </c>
      <c r="D14" s="21" t="s">
        <v>360</v>
      </c>
      <c r="E14" s="34">
        <v>511</v>
      </c>
      <c r="F14" s="21" t="s">
        <v>370</v>
      </c>
      <c r="G14" s="21"/>
      <c r="H14" s="21" t="s">
        <v>406</v>
      </c>
      <c r="I14" s="22">
        <v>12</v>
      </c>
      <c r="J14" s="21" t="s">
        <v>407</v>
      </c>
      <c r="K14" s="21" t="s">
        <v>408</v>
      </c>
      <c r="L14" s="21" t="s">
        <v>366</v>
      </c>
      <c r="M14" s="21" t="s">
        <v>211</v>
      </c>
      <c r="N14" s="21" t="s">
        <v>214</v>
      </c>
      <c r="O14" s="21"/>
      <c r="P14" s="21" t="s">
        <v>1806</v>
      </c>
      <c r="Q14" s="21" t="s">
        <v>367</v>
      </c>
    </row>
    <row r="15" spans="1:17" ht="44" customHeight="1">
      <c r="A15" s="21" t="s">
        <v>409</v>
      </c>
      <c r="B15" s="21" t="s">
        <v>202</v>
      </c>
      <c r="C15" s="21" t="s">
        <v>410</v>
      </c>
      <c r="D15" s="21" t="s">
        <v>360</v>
      </c>
      <c r="E15" s="34" t="s">
        <v>411</v>
      </c>
      <c r="F15" s="21" t="s">
        <v>362</v>
      </c>
      <c r="G15" s="21"/>
      <c r="H15" s="21" t="s">
        <v>412</v>
      </c>
      <c r="I15" s="22">
        <v>7</v>
      </c>
      <c r="J15" s="21" t="s">
        <v>413</v>
      </c>
      <c r="K15" s="21" t="s">
        <v>378</v>
      </c>
      <c r="L15" s="21" t="s">
        <v>366</v>
      </c>
      <c r="M15" s="21" t="s">
        <v>212</v>
      </c>
      <c r="N15" s="21" t="s">
        <v>214</v>
      </c>
      <c r="O15" s="21"/>
      <c r="P15" s="21" t="s">
        <v>1806</v>
      </c>
      <c r="Q15" s="21" t="s">
        <v>367</v>
      </c>
    </row>
    <row r="16" spans="1:17" ht="44" customHeight="1">
      <c r="A16" s="21" t="s">
        <v>414</v>
      </c>
      <c r="B16" s="21" t="s">
        <v>202</v>
      </c>
      <c r="C16" s="21" t="s">
        <v>415</v>
      </c>
      <c r="D16" s="21" t="s">
        <v>360</v>
      </c>
      <c r="E16" s="34" t="s">
        <v>411</v>
      </c>
      <c r="F16" s="21" t="s">
        <v>362</v>
      </c>
      <c r="G16" s="21"/>
      <c r="H16" s="21" t="s">
        <v>416</v>
      </c>
      <c r="I16" s="22">
        <v>7</v>
      </c>
      <c r="J16" s="21" t="s">
        <v>417</v>
      </c>
      <c r="K16" s="21" t="s">
        <v>383</v>
      </c>
      <c r="L16" s="21" t="s">
        <v>366</v>
      </c>
      <c r="M16" s="21" t="s">
        <v>212</v>
      </c>
      <c r="N16" s="21" t="s">
        <v>214</v>
      </c>
      <c r="O16" s="21"/>
      <c r="P16" s="21" t="s">
        <v>1806</v>
      </c>
      <c r="Q16" s="21" t="s">
        <v>367</v>
      </c>
    </row>
    <row r="17" spans="1:17" ht="44" customHeight="1">
      <c r="A17" s="21" t="s">
        <v>418</v>
      </c>
      <c r="B17" s="21" t="s">
        <v>202</v>
      </c>
      <c r="C17" s="21" t="s">
        <v>419</v>
      </c>
      <c r="D17" s="21" t="s">
        <v>386</v>
      </c>
      <c r="E17" s="34"/>
      <c r="F17" s="21" t="s">
        <v>362</v>
      </c>
      <c r="G17" s="21"/>
      <c r="H17" s="21" t="s">
        <v>420</v>
      </c>
      <c r="I17" s="22">
        <v>7</v>
      </c>
      <c r="J17" s="21" t="s">
        <v>421</v>
      </c>
      <c r="K17" s="21" t="s">
        <v>388</v>
      </c>
      <c r="L17" s="21" t="s">
        <v>366</v>
      </c>
      <c r="M17" s="21" t="s">
        <v>212</v>
      </c>
      <c r="N17" s="21" t="s">
        <v>214</v>
      </c>
      <c r="O17" s="21"/>
      <c r="P17" s="21" t="s">
        <v>1806</v>
      </c>
      <c r="Q17" s="21" t="s">
        <v>367</v>
      </c>
    </row>
    <row r="18" spans="1:17" ht="44" customHeight="1">
      <c r="A18" s="21" t="s">
        <v>422</v>
      </c>
      <c r="B18" s="21" t="s">
        <v>202</v>
      </c>
      <c r="C18" s="21" t="s">
        <v>423</v>
      </c>
      <c r="D18" s="21" t="s">
        <v>360</v>
      </c>
      <c r="E18" s="34" t="s">
        <v>424</v>
      </c>
      <c r="F18" s="21" t="s">
        <v>362</v>
      </c>
      <c r="G18" s="21"/>
      <c r="H18" s="21" t="s">
        <v>424</v>
      </c>
      <c r="I18" s="22">
        <v>9</v>
      </c>
      <c r="J18" s="21" t="s">
        <v>425</v>
      </c>
      <c r="K18" s="21" t="s">
        <v>426</v>
      </c>
      <c r="L18" s="21" t="s">
        <v>366</v>
      </c>
      <c r="M18" s="21" t="s">
        <v>212</v>
      </c>
      <c r="N18" s="21" t="s">
        <v>214</v>
      </c>
      <c r="O18" s="21"/>
      <c r="P18" s="21" t="s">
        <v>1806</v>
      </c>
      <c r="Q18" s="21" t="s">
        <v>367</v>
      </c>
    </row>
    <row r="19" spans="1:17" ht="44" customHeight="1">
      <c r="A19" s="21" t="s">
        <v>427</v>
      </c>
      <c r="B19" s="21" t="s">
        <v>202</v>
      </c>
      <c r="C19" s="21" t="s">
        <v>428</v>
      </c>
      <c r="D19" s="21" t="s">
        <v>360</v>
      </c>
      <c r="E19" s="34" t="s">
        <v>429</v>
      </c>
      <c r="F19" s="21" t="s">
        <v>362</v>
      </c>
      <c r="G19" s="21" t="s">
        <v>430</v>
      </c>
      <c r="H19" s="21" t="s">
        <v>431</v>
      </c>
      <c r="I19" s="22">
        <v>9</v>
      </c>
      <c r="J19" s="21" t="s">
        <v>432</v>
      </c>
      <c r="K19" s="21" t="s">
        <v>426</v>
      </c>
      <c r="L19" s="21" t="s">
        <v>366</v>
      </c>
      <c r="M19" s="21" t="s">
        <v>212</v>
      </c>
      <c r="N19" s="21" t="s">
        <v>214</v>
      </c>
      <c r="O19" s="21"/>
      <c r="P19" s="21" t="s">
        <v>1806</v>
      </c>
      <c r="Q19" s="21" t="s">
        <v>367</v>
      </c>
    </row>
    <row r="20" spans="1:17" ht="44" customHeight="1">
      <c r="A20" s="21" t="s">
        <v>433</v>
      </c>
      <c r="B20" s="21" t="s">
        <v>202</v>
      </c>
      <c r="C20" s="21" t="s">
        <v>434</v>
      </c>
      <c r="D20" s="21" t="s">
        <v>360</v>
      </c>
      <c r="E20" s="34" t="s">
        <v>435</v>
      </c>
      <c r="F20" s="21" t="s">
        <v>362</v>
      </c>
      <c r="G20" s="21"/>
      <c r="H20" s="21" t="s">
        <v>436</v>
      </c>
      <c r="I20" s="22">
        <v>14</v>
      </c>
      <c r="J20" s="21" t="s">
        <v>437</v>
      </c>
      <c r="K20" s="21" t="s">
        <v>365</v>
      </c>
      <c r="L20" s="21" t="s">
        <v>366</v>
      </c>
      <c r="M20" s="21" t="s">
        <v>212</v>
      </c>
      <c r="N20" s="21" t="s">
        <v>214</v>
      </c>
      <c r="O20" s="21"/>
      <c r="P20" s="21" t="s">
        <v>1806</v>
      </c>
      <c r="Q20" s="21" t="s">
        <v>367</v>
      </c>
    </row>
    <row r="21" spans="1:17" ht="44" customHeight="1">
      <c r="A21" s="21" t="s">
        <v>438</v>
      </c>
      <c r="B21" s="21" t="s">
        <v>202</v>
      </c>
      <c r="C21" s="21" t="s">
        <v>439</v>
      </c>
      <c r="D21" s="21" t="s">
        <v>360</v>
      </c>
      <c r="E21" s="34" t="s">
        <v>440</v>
      </c>
      <c r="F21" s="21" t="s">
        <v>441</v>
      </c>
      <c r="G21" s="21"/>
      <c r="H21" s="21" t="s">
        <v>442</v>
      </c>
      <c r="I21" s="22">
        <v>14</v>
      </c>
      <c r="J21" s="21" t="s">
        <v>443</v>
      </c>
      <c r="K21" s="21" t="s">
        <v>365</v>
      </c>
      <c r="L21" s="21" t="s">
        <v>366</v>
      </c>
      <c r="M21" s="21" t="s">
        <v>212</v>
      </c>
      <c r="N21" s="21" t="s">
        <v>214</v>
      </c>
      <c r="O21" s="21"/>
      <c r="P21" s="21" t="s">
        <v>1806</v>
      </c>
      <c r="Q21" s="21" t="s">
        <v>367</v>
      </c>
    </row>
    <row r="22" spans="1:17" ht="44" customHeight="1">
      <c r="A22" s="21" t="s">
        <v>444</v>
      </c>
      <c r="B22" s="21" t="s">
        <v>202</v>
      </c>
      <c r="C22" s="21" t="s">
        <v>445</v>
      </c>
      <c r="D22" s="21" t="s">
        <v>360</v>
      </c>
      <c r="E22" s="34" t="s">
        <v>446</v>
      </c>
      <c r="F22" s="21" t="s">
        <v>362</v>
      </c>
      <c r="G22" s="21"/>
      <c r="H22" s="21" t="s">
        <v>447</v>
      </c>
      <c r="I22" s="22">
        <v>13</v>
      </c>
      <c r="J22" s="21" t="s">
        <v>448</v>
      </c>
      <c r="K22" s="21" t="s">
        <v>365</v>
      </c>
      <c r="L22" s="21" t="s">
        <v>366</v>
      </c>
      <c r="M22" s="21" t="s">
        <v>212</v>
      </c>
      <c r="N22" s="21" t="s">
        <v>214</v>
      </c>
      <c r="O22" s="21"/>
      <c r="P22" s="21" t="s">
        <v>1806</v>
      </c>
      <c r="Q22" s="21" t="s">
        <v>367</v>
      </c>
    </row>
    <row r="23" spans="1:17" ht="44" customHeight="1">
      <c r="A23" s="21" t="s">
        <v>449</v>
      </c>
      <c r="B23" s="21" t="s">
        <v>202</v>
      </c>
      <c r="C23" s="21" t="s">
        <v>450</v>
      </c>
      <c r="D23" s="21" t="s">
        <v>360</v>
      </c>
      <c r="E23" s="34">
        <v>14</v>
      </c>
      <c r="F23" s="21" t="s">
        <v>451</v>
      </c>
      <c r="G23" s="21" t="s">
        <v>452</v>
      </c>
      <c r="H23" s="21" t="s">
        <v>453</v>
      </c>
      <c r="I23" s="22">
        <v>10</v>
      </c>
      <c r="J23" s="21" t="s">
        <v>454</v>
      </c>
      <c r="K23" s="21" t="s">
        <v>365</v>
      </c>
      <c r="L23" s="21" t="s">
        <v>366</v>
      </c>
      <c r="M23" s="21" t="s">
        <v>212</v>
      </c>
      <c r="N23" s="21" t="s">
        <v>214</v>
      </c>
      <c r="O23" s="21"/>
      <c r="P23" s="21" t="s">
        <v>1806</v>
      </c>
      <c r="Q23" s="21" t="s">
        <v>367</v>
      </c>
    </row>
    <row r="24" spans="1:17" ht="44" customHeight="1">
      <c r="A24" s="21" t="s">
        <v>455</v>
      </c>
      <c r="B24" s="21" t="s">
        <v>202</v>
      </c>
      <c r="C24" s="21" t="s">
        <v>456</v>
      </c>
      <c r="D24" s="21" t="s">
        <v>360</v>
      </c>
      <c r="E24" s="34" t="s">
        <v>457</v>
      </c>
      <c r="F24" s="21" t="s">
        <v>362</v>
      </c>
      <c r="G24" s="21" t="s">
        <v>458</v>
      </c>
      <c r="H24" s="21" t="s">
        <v>459</v>
      </c>
      <c r="I24" s="22">
        <v>9</v>
      </c>
      <c r="J24" s="21" t="s">
        <v>460</v>
      </c>
      <c r="K24" s="21" t="s">
        <v>365</v>
      </c>
      <c r="L24" s="21" t="s">
        <v>366</v>
      </c>
      <c r="M24" s="21" t="s">
        <v>212</v>
      </c>
      <c r="N24" s="21" t="s">
        <v>214</v>
      </c>
      <c r="O24" s="21"/>
      <c r="P24" s="21" t="s">
        <v>1806</v>
      </c>
      <c r="Q24" s="21" t="s">
        <v>367</v>
      </c>
    </row>
    <row r="25" spans="1:17" ht="44" customHeight="1">
      <c r="A25" s="21" t="s">
        <v>461</v>
      </c>
      <c r="B25" s="21" t="s">
        <v>202</v>
      </c>
      <c r="C25" s="21" t="s">
        <v>462</v>
      </c>
      <c r="D25" s="21" t="s">
        <v>360</v>
      </c>
      <c r="E25" s="34" t="s">
        <v>463</v>
      </c>
      <c r="F25" s="21" t="s">
        <v>362</v>
      </c>
      <c r="G25" s="21" t="s">
        <v>464</v>
      </c>
      <c r="H25" s="21" t="s">
        <v>465</v>
      </c>
      <c r="I25" s="22">
        <v>10</v>
      </c>
      <c r="J25" s="21" t="s">
        <v>466</v>
      </c>
      <c r="K25" s="21" t="s">
        <v>365</v>
      </c>
      <c r="L25" s="21" t="s">
        <v>366</v>
      </c>
      <c r="M25" s="21" t="s">
        <v>212</v>
      </c>
      <c r="N25" s="21" t="s">
        <v>214</v>
      </c>
      <c r="O25" s="21"/>
      <c r="P25" s="21" t="s">
        <v>1806</v>
      </c>
      <c r="Q25" s="21" t="s">
        <v>367</v>
      </c>
    </row>
    <row r="26" spans="1:17" ht="26">
      <c r="A26" s="35" t="s">
        <v>467</v>
      </c>
      <c r="B26" s="35" t="s">
        <v>216</v>
      </c>
      <c r="C26" s="35" t="s">
        <v>468</v>
      </c>
      <c r="D26" s="35" t="s">
        <v>360</v>
      </c>
      <c r="E26" s="36" t="s">
        <v>469</v>
      </c>
      <c r="F26" s="35" t="s">
        <v>362</v>
      </c>
      <c r="G26" s="35"/>
      <c r="H26" s="35" t="s">
        <v>470</v>
      </c>
      <c r="I26" s="35">
        <v>1</v>
      </c>
      <c r="J26" s="35" t="s">
        <v>471</v>
      </c>
      <c r="K26" s="35" t="s">
        <v>365</v>
      </c>
      <c r="L26" s="35" t="s">
        <v>366</v>
      </c>
      <c r="M26" s="35" t="s">
        <v>211</v>
      </c>
      <c r="N26" s="35" t="s">
        <v>224</v>
      </c>
      <c r="O26" s="35"/>
      <c r="P26" s="21" t="s">
        <v>1806</v>
      </c>
      <c r="Q26" s="35" t="s">
        <v>472</v>
      </c>
    </row>
    <row r="27" spans="1:17" ht="26">
      <c r="A27" s="35" t="s">
        <v>473</v>
      </c>
      <c r="B27" s="35" t="s">
        <v>216</v>
      </c>
      <c r="C27" s="35" t="s">
        <v>474</v>
      </c>
      <c r="D27" s="35" t="s">
        <v>360</v>
      </c>
      <c r="E27" s="36" t="s">
        <v>475</v>
      </c>
      <c r="F27" s="35" t="s">
        <v>362</v>
      </c>
      <c r="G27" s="35"/>
      <c r="H27" s="35" t="s">
        <v>476</v>
      </c>
      <c r="I27" s="35">
        <v>1</v>
      </c>
      <c r="J27" s="35" t="s">
        <v>477</v>
      </c>
      <c r="K27" s="35" t="s">
        <v>365</v>
      </c>
      <c r="L27" s="35" t="s">
        <v>366</v>
      </c>
      <c r="M27" s="35" t="s">
        <v>211</v>
      </c>
      <c r="N27" s="35" t="s">
        <v>224</v>
      </c>
      <c r="O27" s="35"/>
      <c r="P27" s="21" t="s">
        <v>1806</v>
      </c>
      <c r="Q27" s="35" t="s">
        <v>472</v>
      </c>
    </row>
    <row r="28" spans="1:17" ht="26">
      <c r="A28" s="35" t="s">
        <v>478</v>
      </c>
      <c r="B28" s="35" t="s">
        <v>216</v>
      </c>
      <c r="C28" s="35" t="s">
        <v>479</v>
      </c>
      <c r="D28" s="35" t="s">
        <v>480</v>
      </c>
      <c r="E28" s="36"/>
      <c r="F28" s="35" t="s">
        <v>451</v>
      </c>
      <c r="G28" s="35" t="s">
        <v>375</v>
      </c>
      <c r="H28" s="35" t="s">
        <v>481</v>
      </c>
      <c r="I28" s="35"/>
      <c r="J28" s="35"/>
      <c r="K28" s="35" t="s">
        <v>365</v>
      </c>
      <c r="L28" s="35"/>
      <c r="M28" s="35" t="s">
        <v>211</v>
      </c>
      <c r="N28" s="35" t="s">
        <v>224</v>
      </c>
      <c r="O28" s="35"/>
      <c r="P28" s="21" t="s">
        <v>1806</v>
      </c>
      <c r="Q28" s="35" t="s">
        <v>482</v>
      </c>
    </row>
    <row r="29" spans="1:17" ht="26">
      <c r="A29" s="35" t="s">
        <v>483</v>
      </c>
      <c r="B29" s="35" t="s">
        <v>216</v>
      </c>
      <c r="C29" s="35" t="s">
        <v>484</v>
      </c>
      <c r="D29" s="35" t="s">
        <v>480</v>
      </c>
      <c r="E29" s="36"/>
      <c r="F29" s="35" t="s">
        <v>451</v>
      </c>
      <c r="G29" s="35" t="s">
        <v>375</v>
      </c>
      <c r="H29" s="35" t="s">
        <v>481</v>
      </c>
      <c r="I29" s="35"/>
      <c r="J29" s="35"/>
      <c r="K29" s="35" t="s">
        <v>365</v>
      </c>
      <c r="L29" s="35"/>
      <c r="M29" s="35" t="s">
        <v>211</v>
      </c>
      <c r="N29" s="35" t="s">
        <v>224</v>
      </c>
      <c r="O29" s="35"/>
      <c r="P29" s="21" t="s">
        <v>1806</v>
      </c>
      <c r="Q29" s="35" t="s">
        <v>482</v>
      </c>
    </row>
    <row r="30" spans="1:17" ht="26">
      <c r="A30" s="35" t="s">
        <v>485</v>
      </c>
      <c r="B30" s="35" t="s">
        <v>216</v>
      </c>
      <c r="C30" s="35" t="s">
        <v>486</v>
      </c>
      <c r="D30" s="35" t="s">
        <v>480</v>
      </c>
      <c r="E30" s="36"/>
      <c r="F30" s="35" t="s">
        <v>451</v>
      </c>
      <c r="G30" s="35" t="s">
        <v>375</v>
      </c>
      <c r="H30" s="35" t="s">
        <v>481</v>
      </c>
      <c r="I30" s="35"/>
      <c r="J30" s="35"/>
      <c r="K30" s="35" t="s">
        <v>365</v>
      </c>
      <c r="L30" s="35"/>
      <c r="M30" s="35" t="s">
        <v>211</v>
      </c>
      <c r="N30" s="35" t="s">
        <v>224</v>
      </c>
      <c r="O30" s="35"/>
      <c r="P30" s="21" t="s">
        <v>1806</v>
      </c>
      <c r="Q30" s="35" t="s">
        <v>482</v>
      </c>
    </row>
    <row r="31" spans="1:17" ht="26">
      <c r="A31" s="35" t="s">
        <v>487</v>
      </c>
      <c r="B31" s="35" t="s">
        <v>216</v>
      </c>
      <c r="C31" s="35" t="s">
        <v>488</v>
      </c>
      <c r="D31" s="35" t="s">
        <v>360</v>
      </c>
      <c r="E31" s="36">
        <v>60000</v>
      </c>
      <c r="F31" s="35" t="s">
        <v>370</v>
      </c>
      <c r="G31" s="35"/>
      <c r="H31" s="35" t="s">
        <v>489</v>
      </c>
      <c r="I31" s="35">
        <v>1</v>
      </c>
      <c r="J31" s="35" t="s">
        <v>490</v>
      </c>
      <c r="K31" s="35" t="s">
        <v>365</v>
      </c>
      <c r="L31" s="35" t="s">
        <v>366</v>
      </c>
      <c r="M31" s="35" t="s">
        <v>211</v>
      </c>
      <c r="N31" s="35" t="s">
        <v>224</v>
      </c>
      <c r="O31" s="35"/>
      <c r="P31" s="21" t="s">
        <v>1806</v>
      </c>
      <c r="Q31" s="35" t="s">
        <v>472</v>
      </c>
    </row>
    <row r="32" spans="1:17" ht="26">
      <c r="A32" s="35" t="s">
        <v>491</v>
      </c>
      <c r="B32" s="35" t="s">
        <v>216</v>
      </c>
      <c r="C32" s="35" t="s">
        <v>492</v>
      </c>
      <c r="D32" s="35" t="s">
        <v>360</v>
      </c>
      <c r="E32" s="36" t="s">
        <v>493</v>
      </c>
      <c r="F32" s="35" t="s">
        <v>362</v>
      </c>
      <c r="G32" s="35"/>
      <c r="H32" s="35" t="s">
        <v>494</v>
      </c>
      <c r="I32" s="35">
        <v>2</v>
      </c>
      <c r="J32" s="35" t="s">
        <v>495</v>
      </c>
      <c r="K32" s="35" t="s">
        <v>365</v>
      </c>
      <c r="L32" s="35" t="s">
        <v>366</v>
      </c>
      <c r="M32" s="35" t="s">
        <v>211</v>
      </c>
      <c r="N32" s="35" t="s">
        <v>224</v>
      </c>
      <c r="O32" s="35"/>
      <c r="P32" s="21" t="s">
        <v>1806</v>
      </c>
      <c r="Q32" s="35" t="s">
        <v>472</v>
      </c>
    </row>
    <row r="33" spans="1:17" ht="26">
      <c r="A33" s="35" t="s">
        <v>496</v>
      </c>
      <c r="B33" s="35" t="s">
        <v>216</v>
      </c>
      <c r="C33" s="35" t="s">
        <v>497</v>
      </c>
      <c r="D33" s="35" t="s">
        <v>360</v>
      </c>
      <c r="E33" s="36">
        <v>50</v>
      </c>
      <c r="F33" s="35" t="s">
        <v>370</v>
      </c>
      <c r="G33" s="35"/>
      <c r="H33" s="35" t="s">
        <v>498</v>
      </c>
      <c r="I33" s="35">
        <v>1</v>
      </c>
      <c r="J33" s="35" t="s">
        <v>499</v>
      </c>
      <c r="K33" s="35" t="s">
        <v>365</v>
      </c>
      <c r="L33" s="35" t="s">
        <v>366</v>
      </c>
      <c r="M33" s="35" t="s">
        <v>212</v>
      </c>
      <c r="N33" s="35" t="s">
        <v>224</v>
      </c>
      <c r="O33" s="35"/>
      <c r="P33" s="21" t="s">
        <v>1806</v>
      </c>
      <c r="Q33" s="35" t="s">
        <v>472</v>
      </c>
    </row>
    <row r="34" spans="1:17" ht="26">
      <c r="A34" s="35" t="s">
        <v>500</v>
      </c>
      <c r="B34" s="35" t="s">
        <v>216</v>
      </c>
      <c r="C34" s="35" t="s">
        <v>501</v>
      </c>
      <c r="D34" s="35" t="s">
        <v>360</v>
      </c>
      <c r="E34" s="36" t="s">
        <v>440</v>
      </c>
      <c r="F34" s="35" t="s">
        <v>441</v>
      </c>
      <c r="G34" s="35"/>
      <c r="H34" s="35" t="s">
        <v>502</v>
      </c>
      <c r="I34" s="35">
        <v>1</v>
      </c>
      <c r="J34" s="35" t="s">
        <v>503</v>
      </c>
      <c r="K34" s="35" t="s">
        <v>365</v>
      </c>
      <c r="L34" s="35" t="s">
        <v>366</v>
      </c>
      <c r="M34" s="35" t="s">
        <v>212</v>
      </c>
      <c r="N34" s="35" t="s">
        <v>224</v>
      </c>
      <c r="O34" s="35"/>
      <c r="P34" s="21" t="s">
        <v>1806</v>
      </c>
      <c r="Q34" s="35" t="s">
        <v>472</v>
      </c>
    </row>
    <row r="35" spans="1:17" ht="26">
      <c r="A35" s="35" t="s">
        <v>504</v>
      </c>
      <c r="B35" s="35" t="s">
        <v>216</v>
      </c>
      <c r="C35" s="35" t="s">
        <v>505</v>
      </c>
      <c r="D35" s="35" t="s">
        <v>480</v>
      </c>
      <c r="E35" s="36"/>
      <c r="F35" s="35" t="s">
        <v>362</v>
      </c>
      <c r="G35" s="35"/>
      <c r="H35" s="35"/>
      <c r="I35" s="35"/>
      <c r="J35" s="35"/>
      <c r="K35" s="35" t="s">
        <v>365</v>
      </c>
      <c r="L35" s="35"/>
      <c r="M35" s="35" t="s">
        <v>212</v>
      </c>
      <c r="N35" s="35" t="s">
        <v>224</v>
      </c>
      <c r="O35" s="35"/>
      <c r="P35" s="21" t="s">
        <v>1806</v>
      </c>
      <c r="Q35" s="35" t="s">
        <v>482</v>
      </c>
    </row>
    <row r="36" spans="1:17" ht="26">
      <c r="A36" s="35" t="s">
        <v>506</v>
      </c>
      <c r="B36" s="35" t="s">
        <v>216</v>
      </c>
      <c r="C36" s="35" t="s">
        <v>507</v>
      </c>
      <c r="D36" s="35" t="s">
        <v>360</v>
      </c>
      <c r="E36" s="36" t="s">
        <v>508</v>
      </c>
      <c r="F36" s="35" t="s">
        <v>362</v>
      </c>
      <c r="G36" s="35"/>
      <c r="H36" s="35" t="s">
        <v>509</v>
      </c>
      <c r="I36" s="35">
        <v>1</v>
      </c>
      <c r="J36" s="35" t="s">
        <v>510</v>
      </c>
      <c r="K36" s="35" t="s">
        <v>365</v>
      </c>
      <c r="L36" s="35" t="s">
        <v>366</v>
      </c>
      <c r="M36" s="35" t="s">
        <v>212</v>
      </c>
      <c r="N36" s="35" t="s">
        <v>224</v>
      </c>
      <c r="O36" s="35"/>
      <c r="P36" s="21" t="s">
        <v>1806</v>
      </c>
      <c r="Q36" s="35" t="s">
        <v>472</v>
      </c>
    </row>
    <row r="37" spans="1:17" ht="78">
      <c r="A37" s="35" t="s">
        <v>511</v>
      </c>
      <c r="B37" s="35" t="s">
        <v>216</v>
      </c>
      <c r="C37" s="35" t="s">
        <v>512</v>
      </c>
      <c r="D37" s="35" t="s">
        <v>480</v>
      </c>
      <c r="E37" s="36"/>
      <c r="F37" s="35" t="s">
        <v>362</v>
      </c>
      <c r="G37" s="35"/>
      <c r="H37" s="35"/>
      <c r="I37" s="35">
        <v>1</v>
      </c>
      <c r="J37" s="35" t="s">
        <v>513</v>
      </c>
      <c r="K37" s="35" t="s">
        <v>365</v>
      </c>
      <c r="L37" s="35" t="s">
        <v>366</v>
      </c>
      <c r="M37" s="35" t="s">
        <v>212</v>
      </c>
      <c r="N37" s="35" t="s">
        <v>224</v>
      </c>
      <c r="O37" s="35"/>
      <c r="P37" s="21" t="s">
        <v>1806</v>
      </c>
      <c r="Q37" s="35" t="s">
        <v>472</v>
      </c>
    </row>
    <row r="38" spans="1:17" ht="26">
      <c r="A38" s="35" t="s">
        <v>514</v>
      </c>
      <c r="B38" s="35" t="s">
        <v>216</v>
      </c>
      <c r="C38" s="35" t="s">
        <v>450</v>
      </c>
      <c r="D38" s="35" t="s">
        <v>480</v>
      </c>
      <c r="E38" s="36"/>
      <c r="F38" s="35" t="s">
        <v>451</v>
      </c>
      <c r="G38" s="35" t="s">
        <v>452</v>
      </c>
      <c r="H38" s="35"/>
      <c r="I38" s="35"/>
      <c r="J38" s="35"/>
      <c r="K38" s="35" t="s">
        <v>365</v>
      </c>
      <c r="L38" s="35"/>
      <c r="M38" s="35" t="s">
        <v>212</v>
      </c>
      <c r="N38" s="35" t="s">
        <v>224</v>
      </c>
      <c r="O38" s="35"/>
      <c r="P38" s="21" t="s">
        <v>1806</v>
      </c>
      <c r="Q38" s="35" t="s">
        <v>482</v>
      </c>
    </row>
    <row r="39" spans="1:17" ht="26">
      <c r="A39" s="35" t="s">
        <v>515</v>
      </c>
      <c r="B39" s="35" t="s">
        <v>216</v>
      </c>
      <c r="C39" s="35" t="s">
        <v>456</v>
      </c>
      <c r="D39" s="35" t="s">
        <v>480</v>
      </c>
      <c r="E39" s="36"/>
      <c r="F39" s="35" t="s">
        <v>362</v>
      </c>
      <c r="G39" s="35" t="s">
        <v>458</v>
      </c>
      <c r="H39" s="35"/>
      <c r="I39" s="35"/>
      <c r="J39" s="35"/>
      <c r="K39" s="35" t="s">
        <v>365</v>
      </c>
      <c r="L39" s="35"/>
      <c r="M39" s="35" t="s">
        <v>212</v>
      </c>
      <c r="N39" s="35" t="s">
        <v>224</v>
      </c>
      <c r="O39" s="35"/>
      <c r="P39" s="21" t="s">
        <v>1806</v>
      </c>
      <c r="Q39" s="35" t="s">
        <v>482</v>
      </c>
    </row>
    <row r="40" spans="1:17" ht="26">
      <c r="A40" s="35" t="s">
        <v>516</v>
      </c>
      <c r="B40" s="35" t="s">
        <v>216</v>
      </c>
      <c r="C40" s="35" t="s">
        <v>462</v>
      </c>
      <c r="D40" s="35" t="s">
        <v>480</v>
      </c>
      <c r="E40" s="36"/>
      <c r="F40" s="35" t="s">
        <v>362</v>
      </c>
      <c r="G40" s="35" t="s">
        <v>464</v>
      </c>
      <c r="H40" s="35"/>
      <c r="I40" s="35"/>
      <c r="J40" s="35"/>
      <c r="K40" s="35" t="s">
        <v>365</v>
      </c>
      <c r="L40" s="35"/>
      <c r="M40" s="35" t="s">
        <v>212</v>
      </c>
      <c r="N40" s="35" t="s">
        <v>224</v>
      </c>
      <c r="O40" s="35"/>
      <c r="P40" s="21" t="s">
        <v>1806</v>
      </c>
      <c r="Q40" s="35" t="s">
        <v>482</v>
      </c>
    </row>
    <row r="41" spans="1:17" ht="26">
      <c r="A41" s="35" t="s">
        <v>517</v>
      </c>
      <c r="B41" s="35" t="s">
        <v>226</v>
      </c>
      <c r="C41" s="35" t="s">
        <v>468</v>
      </c>
      <c r="D41" s="35" t="s">
        <v>360</v>
      </c>
      <c r="E41" s="36" t="s">
        <v>518</v>
      </c>
      <c r="F41" s="35" t="s">
        <v>362</v>
      </c>
      <c r="G41" s="35"/>
      <c r="H41" s="35" t="s">
        <v>519</v>
      </c>
      <c r="I41" s="35">
        <v>1</v>
      </c>
      <c r="J41" s="35" t="s">
        <v>520</v>
      </c>
      <c r="K41" s="35" t="s">
        <v>365</v>
      </c>
      <c r="L41" s="35" t="s">
        <v>366</v>
      </c>
      <c r="M41" s="35" t="s">
        <v>211</v>
      </c>
      <c r="N41" s="35" t="s">
        <v>224</v>
      </c>
      <c r="O41" s="35"/>
      <c r="P41" s="21" t="s">
        <v>1806</v>
      </c>
      <c r="Q41" s="35" t="s">
        <v>472</v>
      </c>
    </row>
    <row r="42" spans="1:17" ht="26">
      <c r="A42" s="35" t="s">
        <v>521</v>
      </c>
      <c r="B42" s="35" t="s">
        <v>226</v>
      </c>
      <c r="C42" s="35" t="s">
        <v>474</v>
      </c>
      <c r="D42" s="35" t="s">
        <v>360</v>
      </c>
      <c r="E42" s="36" t="s">
        <v>522</v>
      </c>
      <c r="F42" s="35" t="s">
        <v>362</v>
      </c>
      <c r="G42" s="35"/>
      <c r="H42" s="35" t="s">
        <v>523</v>
      </c>
      <c r="I42" s="35">
        <v>1</v>
      </c>
      <c r="J42" s="35" t="s">
        <v>524</v>
      </c>
      <c r="K42" s="35" t="s">
        <v>365</v>
      </c>
      <c r="L42" s="35" t="s">
        <v>366</v>
      </c>
      <c r="M42" s="35" t="s">
        <v>211</v>
      </c>
      <c r="N42" s="35" t="s">
        <v>224</v>
      </c>
      <c r="O42" s="35"/>
      <c r="P42" s="21" t="s">
        <v>1806</v>
      </c>
      <c r="Q42" s="35" t="s">
        <v>472</v>
      </c>
    </row>
    <row r="43" spans="1:17" ht="26">
      <c r="A43" s="35" t="s">
        <v>525</v>
      </c>
      <c r="B43" s="35" t="s">
        <v>226</v>
      </c>
      <c r="C43" s="35" t="s">
        <v>479</v>
      </c>
      <c r="D43" s="35" t="s">
        <v>480</v>
      </c>
      <c r="E43" s="36"/>
      <c r="F43" s="35" t="s">
        <v>451</v>
      </c>
      <c r="G43" s="35" t="s">
        <v>375</v>
      </c>
      <c r="H43" s="35" t="s">
        <v>481</v>
      </c>
      <c r="I43" s="35"/>
      <c r="J43" s="35"/>
      <c r="K43" s="35" t="s">
        <v>365</v>
      </c>
      <c r="L43" s="35"/>
      <c r="M43" s="35" t="s">
        <v>211</v>
      </c>
      <c r="N43" s="35" t="s">
        <v>224</v>
      </c>
      <c r="O43" s="35"/>
      <c r="P43" s="21" t="s">
        <v>1806</v>
      </c>
      <c r="Q43" s="35" t="s">
        <v>482</v>
      </c>
    </row>
    <row r="44" spans="1:17" ht="26">
      <c r="A44" s="35" t="s">
        <v>526</v>
      </c>
      <c r="B44" s="35" t="s">
        <v>226</v>
      </c>
      <c r="C44" s="35" t="s">
        <v>484</v>
      </c>
      <c r="D44" s="35" t="s">
        <v>360</v>
      </c>
      <c r="E44" s="36">
        <v>2200</v>
      </c>
      <c r="F44" s="35" t="s">
        <v>451</v>
      </c>
      <c r="G44" s="35" t="s">
        <v>375</v>
      </c>
      <c r="H44" s="35" t="s">
        <v>527</v>
      </c>
      <c r="I44" s="35">
        <v>1</v>
      </c>
      <c r="J44" s="35" t="s">
        <v>528</v>
      </c>
      <c r="K44" s="35" t="s">
        <v>365</v>
      </c>
      <c r="L44" s="35" t="s">
        <v>366</v>
      </c>
      <c r="M44" s="35" t="s">
        <v>211</v>
      </c>
      <c r="N44" s="35" t="s">
        <v>224</v>
      </c>
      <c r="O44" s="35"/>
      <c r="P44" s="21" t="s">
        <v>1806</v>
      </c>
      <c r="Q44" s="35" t="s">
        <v>472</v>
      </c>
    </row>
    <row r="45" spans="1:17" ht="26">
      <c r="A45" s="35" t="s">
        <v>529</v>
      </c>
      <c r="B45" s="35" t="s">
        <v>226</v>
      </c>
      <c r="C45" s="35" t="s">
        <v>486</v>
      </c>
      <c r="D45" s="35" t="s">
        <v>480</v>
      </c>
      <c r="E45" s="36"/>
      <c r="F45" s="35" t="s">
        <v>451</v>
      </c>
      <c r="G45" s="35" t="s">
        <v>375</v>
      </c>
      <c r="H45" s="35" t="s">
        <v>481</v>
      </c>
      <c r="I45" s="35"/>
      <c r="J45" s="35"/>
      <c r="K45" s="35" t="s">
        <v>365</v>
      </c>
      <c r="L45" s="35"/>
      <c r="M45" s="35" t="s">
        <v>211</v>
      </c>
      <c r="N45" s="35" t="s">
        <v>224</v>
      </c>
      <c r="O45" s="35"/>
      <c r="P45" s="21" t="s">
        <v>1806</v>
      </c>
      <c r="Q45" s="35" t="s">
        <v>482</v>
      </c>
    </row>
    <row r="46" spans="1:17" ht="26">
      <c r="A46" s="35" t="s">
        <v>530</v>
      </c>
      <c r="B46" s="35" t="s">
        <v>226</v>
      </c>
      <c r="C46" s="35" t="s">
        <v>488</v>
      </c>
      <c r="D46" s="35" t="s">
        <v>480</v>
      </c>
      <c r="E46" s="36"/>
      <c r="F46" s="35" t="s">
        <v>370</v>
      </c>
      <c r="G46" s="35"/>
      <c r="H46" s="35" t="s">
        <v>481</v>
      </c>
      <c r="I46" s="35"/>
      <c r="J46" s="35"/>
      <c r="K46" s="35" t="s">
        <v>365</v>
      </c>
      <c r="L46" s="35"/>
      <c r="M46" s="35" t="s">
        <v>211</v>
      </c>
      <c r="N46" s="35" t="s">
        <v>224</v>
      </c>
      <c r="O46" s="35"/>
      <c r="P46" s="21" t="s">
        <v>1806</v>
      </c>
      <c r="Q46" s="35" t="s">
        <v>482</v>
      </c>
    </row>
    <row r="47" spans="1:17" ht="26">
      <c r="A47" s="35" t="s">
        <v>531</v>
      </c>
      <c r="B47" s="35" t="s">
        <v>226</v>
      </c>
      <c r="C47" s="35" t="s">
        <v>492</v>
      </c>
      <c r="D47" s="35" t="s">
        <v>360</v>
      </c>
      <c r="E47" s="36" t="s">
        <v>493</v>
      </c>
      <c r="F47" s="35" t="s">
        <v>362</v>
      </c>
      <c r="G47" s="35"/>
      <c r="H47" s="35" t="s">
        <v>494</v>
      </c>
      <c r="I47" s="35">
        <v>2</v>
      </c>
      <c r="J47" s="35" t="s">
        <v>495</v>
      </c>
      <c r="K47" s="35" t="s">
        <v>365</v>
      </c>
      <c r="L47" s="35" t="s">
        <v>366</v>
      </c>
      <c r="M47" s="35" t="s">
        <v>211</v>
      </c>
      <c r="N47" s="35" t="s">
        <v>224</v>
      </c>
      <c r="O47" s="35"/>
      <c r="P47" s="21" t="s">
        <v>1806</v>
      </c>
      <c r="Q47" s="35" t="s">
        <v>472</v>
      </c>
    </row>
    <row r="48" spans="1:17" ht="26">
      <c r="A48" s="35" t="s">
        <v>532</v>
      </c>
      <c r="B48" s="35" t="s">
        <v>226</v>
      </c>
      <c r="C48" s="35" t="s">
        <v>497</v>
      </c>
      <c r="D48" s="35" t="s">
        <v>360</v>
      </c>
      <c r="E48" s="36">
        <v>200</v>
      </c>
      <c r="F48" s="35" t="s">
        <v>370</v>
      </c>
      <c r="G48" s="35"/>
      <c r="H48" s="35" t="s">
        <v>533</v>
      </c>
      <c r="I48" s="35">
        <v>1</v>
      </c>
      <c r="J48" s="35" t="s">
        <v>534</v>
      </c>
      <c r="K48" s="35" t="s">
        <v>365</v>
      </c>
      <c r="L48" s="35" t="s">
        <v>366</v>
      </c>
      <c r="M48" s="35" t="s">
        <v>212</v>
      </c>
      <c r="N48" s="35" t="s">
        <v>224</v>
      </c>
      <c r="O48" s="35"/>
      <c r="P48" s="21" t="s">
        <v>1806</v>
      </c>
      <c r="Q48" s="35" t="s">
        <v>472</v>
      </c>
    </row>
    <row r="49" spans="1:17" ht="26">
      <c r="A49" s="35" t="s">
        <v>535</v>
      </c>
      <c r="B49" s="35" t="s">
        <v>226</v>
      </c>
      <c r="C49" s="35" t="s">
        <v>501</v>
      </c>
      <c r="D49" s="35" t="s">
        <v>360</v>
      </c>
      <c r="E49" s="36" t="s">
        <v>440</v>
      </c>
      <c r="F49" s="35" t="s">
        <v>441</v>
      </c>
      <c r="G49" s="35"/>
      <c r="H49" s="35" t="s">
        <v>536</v>
      </c>
      <c r="I49" s="35">
        <v>1</v>
      </c>
      <c r="J49" s="35" t="s">
        <v>537</v>
      </c>
      <c r="K49" s="35" t="s">
        <v>365</v>
      </c>
      <c r="L49" s="35" t="s">
        <v>366</v>
      </c>
      <c r="M49" s="35" t="s">
        <v>212</v>
      </c>
      <c r="N49" s="35" t="s">
        <v>224</v>
      </c>
      <c r="O49" s="35"/>
      <c r="P49" s="21" t="s">
        <v>1806</v>
      </c>
      <c r="Q49" s="35" t="s">
        <v>472</v>
      </c>
    </row>
    <row r="50" spans="1:17" ht="26">
      <c r="A50" s="35" t="s">
        <v>538</v>
      </c>
      <c r="B50" s="35" t="s">
        <v>226</v>
      </c>
      <c r="C50" s="35" t="s">
        <v>505</v>
      </c>
      <c r="D50" s="35" t="s">
        <v>480</v>
      </c>
      <c r="E50" s="36"/>
      <c r="F50" s="35" t="s">
        <v>362</v>
      </c>
      <c r="G50" s="35"/>
      <c r="H50" s="35"/>
      <c r="I50" s="35"/>
      <c r="J50" s="35"/>
      <c r="K50" s="35" t="s">
        <v>365</v>
      </c>
      <c r="L50" s="35"/>
      <c r="M50" s="35" t="s">
        <v>212</v>
      </c>
      <c r="N50" s="35" t="s">
        <v>224</v>
      </c>
      <c r="O50" s="35"/>
      <c r="P50" s="21" t="s">
        <v>1806</v>
      </c>
      <c r="Q50" s="35" t="s">
        <v>482</v>
      </c>
    </row>
    <row r="51" spans="1:17" ht="26">
      <c r="A51" s="35" t="s">
        <v>539</v>
      </c>
      <c r="B51" s="35" t="s">
        <v>226</v>
      </c>
      <c r="C51" s="35" t="s">
        <v>507</v>
      </c>
      <c r="D51" s="35" t="s">
        <v>480</v>
      </c>
      <c r="E51" s="36"/>
      <c r="F51" s="35" t="s">
        <v>362</v>
      </c>
      <c r="G51" s="35"/>
      <c r="H51" s="35"/>
      <c r="I51" s="35"/>
      <c r="J51" s="35"/>
      <c r="K51" s="35" t="s">
        <v>365</v>
      </c>
      <c r="L51" s="35"/>
      <c r="M51" s="35" t="s">
        <v>212</v>
      </c>
      <c r="N51" s="35" t="s">
        <v>224</v>
      </c>
      <c r="O51" s="35"/>
      <c r="P51" s="21" t="s">
        <v>1806</v>
      </c>
      <c r="Q51" s="35" t="s">
        <v>482</v>
      </c>
    </row>
    <row r="52" spans="1:17" ht="26">
      <c r="A52" s="35" t="s">
        <v>540</v>
      </c>
      <c r="B52" s="35" t="s">
        <v>226</v>
      </c>
      <c r="C52" s="35" t="s">
        <v>512</v>
      </c>
      <c r="D52" s="35" t="s">
        <v>480</v>
      </c>
      <c r="E52" s="36"/>
      <c r="F52" s="35" t="s">
        <v>362</v>
      </c>
      <c r="G52" s="35"/>
      <c r="H52" s="35"/>
      <c r="I52" s="35">
        <v>2</v>
      </c>
      <c r="J52" s="35" t="s">
        <v>541</v>
      </c>
      <c r="K52" s="35" t="s">
        <v>365</v>
      </c>
      <c r="L52" s="35" t="s">
        <v>366</v>
      </c>
      <c r="M52" s="35" t="s">
        <v>212</v>
      </c>
      <c r="N52" s="35" t="s">
        <v>224</v>
      </c>
      <c r="O52" s="35"/>
      <c r="P52" s="21" t="s">
        <v>1806</v>
      </c>
      <c r="Q52" s="35" t="s">
        <v>472</v>
      </c>
    </row>
    <row r="53" spans="1:17" ht="26">
      <c r="A53" s="35" t="s">
        <v>542</v>
      </c>
      <c r="B53" s="35" t="s">
        <v>226</v>
      </c>
      <c r="C53" s="35" t="s">
        <v>450</v>
      </c>
      <c r="D53" s="35" t="s">
        <v>480</v>
      </c>
      <c r="E53" s="36"/>
      <c r="F53" s="35" t="s">
        <v>451</v>
      </c>
      <c r="G53" s="35" t="s">
        <v>452</v>
      </c>
      <c r="H53" s="35"/>
      <c r="I53" s="35"/>
      <c r="J53" s="35"/>
      <c r="K53" s="35" t="s">
        <v>365</v>
      </c>
      <c r="L53" s="35"/>
      <c r="M53" s="35" t="s">
        <v>212</v>
      </c>
      <c r="N53" s="35" t="s">
        <v>224</v>
      </c>
      <c r="O53" s="35"/>
      <c r="P53" s="21" t="s">
        <v>1806</v>
      </c>
      <c r="Q53" s="35" t="s">
        <v>482</v>
      </c>
    </row>
    <row r="54" spans="1:17" ht="26">
      <c r="A54" s="35" t="s">
        <v>543</v>
      </c>
      <c r="B54" s="35" t="s">
        <v>226</v>
      </c>
      <c r="C54" s="35" t="s">
        <v>456</v>
      </c>
      <c r="D54" s="35" t="s">
        <v>480</v>
      </c>
      <c r="E54" s="36"/>
      <c r="F54" s="35" t="s">
        <v>362</v>
      </c>
      <c r="G54" s="35" t="s">
        <v>458</v>
      </c>
      <c r="H54" s="35"/>
      <c r="I54" s="35"/>
      <c r="J54" s="35"/>
      <c r="K54" s="35" t="s">
        <v>365</v>
      </c>
      <c r="L54" s="35"/>
      <c r="M54" s="35" t="s">
        <v>212</v>
      </c>
      <c r="N54" s="35" t="s">
        <v>224</v>
      </c>
      <c r="O54" s="35"/>
      <c r="P54" s="21" t="s">
        <v>1806</v>
      </c>
      <c r="Q54" s="35" t="s">
        <v>482</v>
      </c>
    </row>
    <row r="55" spans="1:17" ht="26">
      <c r="A55" s="35" t="s">
        <v>544</v>
      </c>
      <c r="B55" s="35" t="s">
        <v>226</v>
      </c>
      <c r="C55" s="35" t="s">
        <v>462</v>
      </c>
      <c r="D55" s="35" t="s">
        <v>480</v>
      </c>
      <c r="E55" s="36"/>
      <c r="F55" s="35" t="s">
        <v>362</v>
      </c>
      <c r="G55" s="35" t="s">
        <v>464</v>
      </c>
      <c r="H55" s="35"/>
      <c r="I55" s="35"/>
      <c r="J55" s="35"/>
      <c r="K55" s="35" t="s">
        <v>365</v>
      </c>
      <c r="L55" s="35"/>
      <c r="M55" s="35" t="s">
        <v>212</v>
      </c>
      <c r="N55" s="35" t="s">
        <v>224</v>
      </c>
      <c r="O55" s="35"/>
      <c r="P55" s="21" t="s">
        <v>1806</v>
      </c>
      <c r="Q55" s="35" t="s">
        <v>482</v>
      </c>
    </row>
    <row r="56" spans="1:17" ht="26">
      <c r="A56" s="35" t="s">
        <v>545</v>
      </c>
      <c r="B56" s="35" t="s">
        <v>231</v>
      </c>
      <c r="C56" s="35" t="s">
        <v>396</v>
      </c>
      <c r="D56" s="35" t="s">
        <v>360</v>
      </c>
      <c r="E56" s="36" t="s">
        <v>546</v>
      </c>
      <c r="F56" s="35" t="s">
        <v>362</v>
      </c>
      <c r="G56" s="35"/>
      <c r="H56" s="35" t="s">
        <v>547</v>
      </c>
      <c r="I56" s="35">
        <v>3</v>
      </c>
      <c r="J56" s="35" t="s">
        <v>548</v>
      </c>
      <c r="K56" s="35" t="s">
        <v>365</v>
      </c>
      <c r="L56" s="35" t="s">
        <v>366</v>
      </c>
      <c r="M56" s="35" t="s">
        <v>211</v>
      </c>
      <c r="N56" s="35" t="s">
        <v>224</v>
      </c>
      <c r="O56" s="35"/>
      <c r="P56" s="21" t="s">
        <v>1806</v>
      </c>
      <c r="Q56" s="35" t="s">
        <v>472</v>
      </c>
    </row>
    <row r="57" spans="1:17" ht="26">
      <c r="A57" s="35" t="s">
        <v>549</v>
      </c>
      <c r="B57" s="35" t="s">
        <v>231</v>
      </c>
      <c r="C57" s="35" t="s">
        <v>550</v>
      </c>
      <c r="D57" s="35" t="s">
        <v>386</v>
      </c>
      <c r="E57" s="36"/>
      <c r="F57" s="35" t="s">
        <v>362</v>
      </c>
      <c r="G57" s="35"/>
      <c r="H57" s="35" t="s">
        <v>551</v>
      </c>
      <c r="I57" s="35"/>
      <c r="J57" s="35"/>
      <c r="K57" s="35" t="s">
        <v>365</v>
      </c>
      <c r="L57" s="35"/>
      <c r="M57" s="35" t="s">
        <v>211</v>
      </c>
      <c r="N57" s="35" t="s">
        <v>224</v>
      </c>
      <c r="O57" s="35"/>
      <c r="P57" s="21" t="s">
        <v>1806</v>
      </c>
      <c r="Q57" s="35" t="s">
        <v>482</v>
      </c>
    </row>
    <row r="58" spans="1:17" ht="26">
      <c r="A58" s="35" t="s">
        <v>552</v>
      </c>
      <c r="B58" s="35" t="s">
        <v>231</v>
      </c>
      <c r="C58" s="35" t="s">
        <v>553</v>
      </c>
      <c r="D58" s="35" t="s">
        <v>360</v>
      </c>
      <c r="E58" s="36">
        <v>10</v>
      </c>
      <c r="F58" s="35" t="s">
        <v>451</v>
      </c>
      <c r="G58" s="35" t="s">
        <v>554</v>
      </c>
      <c r="H58" s="35" t="s">
        <v>555</v>
      </c>
      <c r="I58" s="35">
        <v>3</v>
      </c>
      <c r="J58" s="35" t="s">
        <v>556</v>
      </c>
      <c r="K58" s="35" t="s">
        <v>365</v>
      </c>
      <c r="L58" s="35" t="s">
        <v>366</v>
      </c>
      <c r="M58" s="35" t="s">
        <v>211</v>
      </c>
      <c r="N58" s="35" t="s">
        <v>224</v>
      </c>
      <c r="O58" s="35"/>
      <c r="P58" s="21" t="s">
        <v>1806</v>
      </c>
      <c r="Q58" s="35" t="s">
        <v>472</v>
      </c>
    </row>
    <row r="59" spans="1:17" ht="26">
      <c r="A59" s="35" t="s">
        <v>557</v>
      </c>
      <c r="B59" s="35" t="s">
        <v>231</v>
      </c>
      <c r="C59" s="35" t="s">
        <v>558</v>
      </c>
      <c r="D59" s="35" t="s">
        <v>360</v>
      </c>
      <c r="E59" s="36">
        <v>1.448</v>
      </c>
      <c r="F59" s="35" t="s">
        <v>451</v>
      </c>
      <c r="G59" s="35" t="s">
        <v>559</v>
      </c>
      <c r="H59" s="35" t="s">
        <v>560</v>
      </c>
      <c r="I59" s="35">
        <v>3</v>
      </c>
      <c r="J59" s="35" t="s">
        <v>561</v>
      </c>
      <c r="K59" s="35" t="s">
        <v>562</v>
      </c>
      <c r="L59" s="35" t="s">
        <v>366</v>
      </c>
      <c r="M59" s="35" t="s">
        <v>211</v>
      </c>
      <c r="N59" s="35" t="s">
        <v>224</v>
      </c>
      <c r="O59" s="35"/>
      <c r="P59" s="21" t="s">
        <v>1806</v>
      </c>
      <c r="Q59" s="35" t="s">
        <v>472</v>
      </c>
    </row>
    <row r="60" spans="1:17" ht="26">
      <c r="A60" s="35" t="s">
        <v>563</v>
      </c>
      <c r="B60" s="35" t="s">
        <v>231</v>
      </c>
      <c r="C60" s="35" t="s">
        <v>564</v>
      </c>
      <c r="D60" s="35" t="s">
        <v>386</v>
      </c>
      <c r="E60" s="36"/>
      <c r="F60" s="35" t="s">
        <v>362</v>
      </c>
      <c r="G60" s="35"/>
      <c r="H60" s="35" t="s">
        <v>565</v>
      </c>
      <c r="I60" s="35"/>
      <c r="J60" s="35"/>
      <c r="K60" s="35" t="s">
        <v>365</v>
      </c>
      <c r="L60" s="35"/>
      <c r="M60" s="35" t="s">
        <v>211</v>
      </c>
      <c r="N60" s="35" t="s">
        <v>224</v>
      </c>
      <c r="O60" s="35"/>
      <c r="P60" s="21" t="s">
        <v>1806</v>
      </c>
      <c r="Q60" s="35" t="s">
        <v>482</v>
      </c>
    </row>
    <row r="61" spans="1:17" ht="26">
      <c r="A61" s="35" t="s">
        <v>566</v>
      </c>
      <c r="B61" s="35" t="s">
        <v>231</v>
      </c>
      <c r="C61" s="35" t="s">
        <v>567</v>
      </c>
      <c r="D61" s="35" t="s">
        <v>386</v>
      </c>
      <c r="E61" s="36"/>
      <c r="F61" s="35" t="s">
        <v>370</v>
      </c>
      <c r="G61" s="35"/>
      <c r="H61" s="35" t="s">
        <v>565</v>
      </c>
      <c r="I61" s="35"/>
      <c r="J61" s="35"/>
      <c r="K61" s="35" t="s">
        <v>365</v>
      </c>
      <c r="L61" s="35"/>
      <c r="M61" s="35" t="s">
        <v>211</v>
      </c>
      <c r="N61" s="35" t="s">
        <v>224</v>
      </c>
      <c r="O61" s="35"/>
      <c r="P61" s="21" t="s">
        <v>1806</v>
      </c>
      <c r="Q61" s="35" t="s">
        <v>482</v>
      </c>
    </row>
    <row r="62" spans="1:17" ht="26">
      <c r="A62" s="35" t="s">
        <v>568</v>
      </c>
      <c r="B62" s="35" t="s">
        <v>231</v>
      </c>
      <c r="C62" s="35" t="s">
        <v>569</v>
      </c>
      <c r="D62" s="35" t="s">
        <v>386</v>
      </c>
      <c r="E62" s="36"/>
      <c r="F62" s="35" t="s">
        <v>451</v>
      </c>
      <c r="G62" s="35" t="s">
        <v>452</v>
      </c>
      <c r="H62" s="35" t="s">
        <v>565</v>
      </c>
      <c r="I62" s="35"/>
      <c r="J62" s="35"/>
      <c r="K62" s="35" t="s">
        <v>365</v>
      </c>
      <c r="L62" s="35"/>
      <c r="M62" s="35" t="s">
        <v>211</v>
      </c>
      <c r="N62" s="35" t="s">
        <v>224</v>
      </c>
      <c r="O62" s="35"/>
      <c r="P62" s="21" t="s">
        <v>1806</v>
      </c>
      <c r="Q62" s="35" t="s">
        <v>482</v>
      </c>
    </row>
    <row r="63" spans="1:17" ht="26">
      <c r="A63" s="35" t="s">
        <v>570</v>
      </c>
      <c r="B63" s="35" t="s">
        <v>231</v>
      </c>
      <c r="C63" s="35" t="s">
        <v>571</v>
      </c>
      <c r="D63" s="35" t="s">
        <v>386</v>
      </c>
      <c r="E63" s="36"/>
      <c r="F63" s="35" t="s">
        <v>441</v>
      </c>
      <c r="G63" s="35"/>
      <c r="H63" s="35" t="s">
        <v>572</v>
      </c>
      <c r="I63" s="35"/>
      <c r="J63" s="35"/>
      <c r="K63" s="35" t="s">
        <v>365</v>
      </c>
      <c r="L63" s="35"/>
      <c r="M63" s="35" t="s">
        <v>211</v>
      </c>
      <c r="N63" s="35" t="s">
        <v>224</v>
      </c>
      <c r="O63" s="35"/>
      <c r="P63" s="21" t="s">
        <v>1806</v>
      </c>
      <c r="Q63" s="35" t="s">
        <v>482</v>
      </c>
    </row>
    <row r="64" spans="1:17" ht="26">
      <c r="A64" s="35" t="s">
        <v>573</v>
      </c>
      <c r="B64" s="35" t="s">
        <v>231</v>
      </c>
      <c r="C64" s="35" t="s">
        <v>574</v>
      </c>
      <c r="D64" s="35" t="s">
        <v>386</v>
      </c>
      <c r="E64" s="36"/>
      <c r="F64" s="35" t="s">
        <v>441</v>
      </c>
      <c r="G64" s="35"/>
      <c r="H64" s="35" t="s">
        <v>575</v>
      </c>
      <c r="I64" s="35"/>
      <c r="J64" s="35"/>
      <c r="K64" s="35" t="s">
        <v>365</v>
      </c>
      <c r="L64" s="35"/>
      <c r="M64" s="35" t="s">
        <v>211</v>
      </c>
      <c r="N64" s="35" t="s">
        <v>224</v>
      </c>
      <c r="O64" s="35"/>
      <c r="P64" s="21" t="s">
        <v>1806</v>
      </c>
      <c r="Q64" s="35" t="s">
        <v>482</v>
      </c>
    </row>
    <row r="65" spans="1:17" ht="26">
      <c r="A65" s="35" t="s">
        <v>576</v>
      </c>
      <c r="B65" s="35" t="s">
        <v>231</v>
      </c>
      <c r="C65" s="35" t="s">
        <v>577</v>
      </c>
      <c r="D65" s="35" t="s">
        <v>386</v>
      </c>
      <c r="E65" s="36"/>
      <c r="F65" s="35" t="s">
        <v>441</v>
      </c>
      <c r="G65" s="35"/>
      <c r="H65" s="35" t="s">
        <v>578</v>
      </c>
      <c r="I65" s="35"/>
      <c r="J65" s="35"/>
      <c r="K65" s="35" t="s">
        <v>365</v>
      </c>
      <c r="L65" s="35"/>
      <c r="M65" s="35" t="s">
        <v>211</v>
      </c>
      <c r="N65" s="35" t="s">
        <v>224</v>
      </c>
      <c r="O65" s="35"/>
      <c r="P65" s="21" t="s">
        <v>1806</v>
      </c>
      <c r="Q65" s="35" t="s">
        <v>482</v>
      </c>
    </row>
    <row r="66" spans="1:17" ht="26">
      <c r="A66" s="35" t="s">
        <v>579</v>
      </c>
      <c r="B66" s="35" t="s">
        <v>231</v>
      </c>
      <c r="C66" s="35" t="s">
        <v>580</v>
      </c>
      <c r="D66" s="35" t="s">
        <v>386</v>
      </c>
      <c r="E66" s="36"/>
      <c r="F66" s="35" t="s">
        <v>441</v>
      </c>
      <c r="G66" s="35"/>
      <c r="H66" s="35" t="s">
        <v>581</v>
      </c>
      <c r="I66" s="35"/>
      <c r="J66" s="35"/>
      <c r="K66" s="35" t="s">
        <v>365</v>
      </c>
      <c r="L66" s="35"/>
      <c r="M66" s="35" t="s">
        <v>211</v>
      </c>
      <c r="N66" s="35" t="s">
        <v>224</v>
      </c>
      <c r="O66" s="35"/>
      <c r="P66" s="21" t="s">
        <v>1806</v>
      </c>
      <c r="Q66" s="35" t="s">
        <v>482</v>
      </c>
    </row>
    <row r="67" spans="1:17" ht="26">
      <c r="A67" s="35" t="s">
        <v>582</v>
      </c>
      <c r="B67" s="35" t="s">
        <v>231</v>
      </c>
      <c r="C67" s="35" t="s">
        <v>583</v>
      </c>
      <c r="D67" s="35" t="s">
        <v>360</v>
      </c>
      <c r="E67" s="36" t="s">
        <v>440</v>
      </c>
      <c r="F67" s="35" t="s">
        <v>441</v>
      </c>
      <c r="G67" s="35"/>
      <c r="H67" s="35" t="s">
        <v>584</v>
      </c>
      <c r="I67" s="35">
        <v>4</v>
      </c>
      <c r="J67" s="35" t="s">
        <v>585</v>
      </c>
      <c r="K67" s="35" t="s">
        <v>365</v>
      </c>
      <c r="L67" s="35" t="s">
        <v>366</v>
      </c>
      <c r="M67" s="35" t="s">
        <v>212</v>
      </c>
      <c r="N67" s="35" t="s">
        <v>224</v>
      </c>
      <c r="O67" s="35"/>
      <c r="P67" s="21" t="s">
        <v>1806</v>
      </c>
      <c r="Q67" s="35" t="s">
        <v>472</v>
      </c>
    </row>
    <row r="68" spans="1:17" ht="26">
      <c r="A68" s="35" t="s">
        <v>586</v>
      </c>
      <c r="B68" s="35" t="s">
        <v>231</v>
      </c>
      <c r="C68" s="35" t="s">
        <v>587</v>
      </c>
      <c r="D68" s="35" t="s">
        <v>360</v>
      </c>
      <c r="E68" s="36" t="s">
        <v>588</v>
      </c>
      <c r="F68" s="35" t="s">
        <v>362</v>
      </c>
      <c r="G68" s="35"/>
      <c r="H68" s="35" t="s">
        <v>588</v>
      </c>
      <c r="I68" s="35">
        <v>3</v>
      </c>
      <c r="J68" s="35" t="s">
        <v>589</v>
      </c>
      <c r="K68" s="35" t="s">
        <v>365</v>
      </c>
      <c r="L68" s="35" t="s">
        <v>366</v>
      </c>
      <c r="M68" s="35" t="s">
        <v>212</v>
      </c>
      <c r="N68" s="35" t="s">
        <v>224</v>
      </c>
      <c r="O68" s="35"/>
      <c r="P68" s="21" t="s">
        <v>1806</v>
      </c>
      <c r="Q68" s="35" t="s">
        <v>472</v>
      </c>
    </row>
    <row r="69" spans="1:17" ht="26">
      <c r="A69" s="35" t="s">
        <v>590</v>
      </c>
      <c r="B69" s="35" t="s">
        <v>231</v>
      </c>
      <c r="C69" s="35" t="s">
        <v>450</v>
      </c>
      <c r="D69" s="35" t="s">
        <v>360</v>
      </c>
      <c r="E69" s="36">
        <v>2.15</v>
      </c>
      <c r="F69" s="35" t="s">
        <v>451</v>
      </c>
      <c r="G69" s="35" t="s">
        <v>452</v>
      </c>
      <c r="H69" s="35" t="s">
        <v>591</v>
      </c>
      <c r="I69" s="35">
        <v>3</v>
      </c>
      <c r="J69" s="35" t="s">
        <v>592</v>
      </c>
      <c r="K69" s="35" t="s">
        <v>365</v>
      </c>
      <c r="L69" s="35" t="s">
        <v>366</v>
      </c>
      <c r="M69" s="35" t="s">
        <v>212</v>
      </c>
      <c r="N69" s="35" t="s">
        <v>224</v>
      </c>
      <c r="O69" s="35"/>
      <c r="P69" s="21" t="s">
        <v>1806</v>
      </c>
      <c r="Q69" s="35" t="s">
        <v>472</v>
      </c>
    </row>
    <row r="70" spans="1:17" ht="26">
      <c r="A70" s="35" t="s">
        <v>593</v>
      </c>
      <c r="B70" s="35" t="s">
        <v>231</v>
      </c>
      <c r="C70" s="35" t="s">
        <v>456</v>
      </c>
      <c r="D70" s="35" t="s">
        <v>360</v>
      </c>
      <c r="E70" s="36" t="s">
        <v>594</v>
      </c>
      <c r="F70" s="35" t="s">
        <v>362</v>
      </c>
      <c r="G70" s="35" t="s">
        <v>458</v>
      </c>
      <c r="H70" s="35" t="s">
        <v>594</v>
      </c>
      <c r="I70" s="35">
        <v>4</v>
      </c>
      <c r="J70" s="35" t="s">
        <v>595</v>
      </c>
      <c r="K70" s="35" t="s">
        <v>365</v>
      </c>
      <c r="L70" s="35" t="s">
        <v>366</v>
      </c>
      <c r="M70" s="35" t="s">
        <v>212</v>
      </c>
      <c r="N70" s="35" t="s">
        <v>224</v>
      </c>
      <c r="O70" s="35"/>
      <c r="P70" s="21" t="s">
        <v>1806</v>
      </c>
      <c r="Q70" s="35" t="s">
        <v>472</v>
      </c>
    </row>
    <row r="71" spans="1:17" ht="26">
      <c r="A71" s="35" t="s">
        <v>596</v>
      </c>
      <c r="B71" s="35" t="s">
        <v>231</v>
      </c>
      <c r="C71" s="35" t="s">
        <v>462</v>
      </c>
      <c r="D71" s="35" t="s">
        <v>360</v>
      </c>
      <c r="E71" s="36" t="s">
        <v>463</v>
      </c>
      <c r="F71" s="35" t="s">
        <v>362</v>
      </c>
      <c r="G71" s="35" t="s">
        <v>464</v>
      </c>
      <c r="H71" s="35" t="s">
        <v>597</v>
      </c>
      <c r="I71" s="35">
        <v>4</v>
      </c>
      <c r="J71" s="35" t="s">
        <v>598</v>
      </c>
      <c r="K71" s="35" t="s">
        <v>365</v>
      </c>
      <c r="L71" s="35" t="s">
        <v>366</v>
      </c>
      <c r="M71" s="35" t="s">
        <v>212</v>
      </c>
      <c r="N71" s="35" t="s">
        <v>224</v>
      </c>
      <c r="O71" s="35"/>
      <c r="P71" s="21" t="s">
        <v>1806</v>
      </c>
      <c r="Q71" s="35" t="s">
        <v>472</v>
      </c>
    </row>
    <row r="72" spans="1:17" ht="26">
      <c r="A72" s="35" t="s">
        <v>599</v>
      </c>
      <c r="B72" s="35" t="s">
        <v>238</v>
      </c>
      <c r="C72" s="35" t="s">
        <v>468</v>
      </c>
      <c r="D72" s="35" t="s">
        <v>360</v>
      </c>
      <c r="E72" s="36" t="s">
        <v>600</v>
      </c>
      <c r="F72" s="35" t="s">
        <v>362</v>
      </c>
      <c r="G72" s="35"/>
      <c r="H72" s="35" t="s">
        <v>601</v>
      </c>
      <c r="I72" s="35">
        <v>2</v>
      </c>
      <c r="J72" s="35" t="s">
        <v>602</v>
      </c>
      <c r="K72" s="35" t="s">
        <v>365</v>
      </c>
      <c r="L72" s="35" t="s">
        <v>366</v>
      </c>
      <c r="M72" s="35" t="s">
        <v>211</v>
      </c>
      <c r="N72" s="35" t="s">
        <v>224</v>
      </c>
      <c r="O72" s="35"/>
      <c r="P72" s="21" t="s">
        <v>1806</v>
      </c>
      <c r="Q72" s="35" t="s">
        <v>472</v>
      </c>
    </row>
    <row r="73" spans="1:17" ht="26">
      <c r="A73" s="35" t="s">
        <v>603</v>
      </c>
      <c r="B73" s="35" t="s">
        <v>238</v>
      </c>
      <c r="C73" s="35" t="s">
        <v>474</v>
      </c>
      <c r="D73" s="35" t="s">
        <v>360</v>
      </c>
      <c r="E73" s="36" t="s">
        <v>600</v>
      </c>
      <c r="F73" s="35" t="s">
        <v>362</v>
      </c>
      <c r="G73" s="35"/>
      <c r="H73" s="35" t="s">
        <v>604</v>
      </c>
      <c r="I73" s="35">
        <v>1</v>
      </c>
      <c r="J73" s="35" t="s">
        <v>605</v>
      </c>
      <c r="K73" s="35" t="s">
        <v>365</v>
      </c>
      <c r="L73" s="35" t="s">
        <v>366</v>
      </c>
      <c r="M73" s="35" t="s">
        <v>211</v>
      </c>
      <c r="N73" s="35" t="s">
        <v>224</v>
      </c>
      <c r="O73" s="35"/>
      <c r="P73" s="21" t="s">
        <v>1806</v>
      </c>
      <c r="Q73" s="35" t="s">
        <v>472</v>
      </c>
    </row>
    <row r="74" spans="1:17" ht="26">
      <c r="A74" s="35" t="s">
        <v>606</v>
      </c>
      <c r="B74" s="35" t="s">
        <v>238</v>
      </c>
      <c r="C74" s="35" t="s">
        <v>479</v>
      </c>
      <c r="D74" s="35" t="s">
        <v>480</v>
      </c>
      <c r="E74" s="36"/>
      <c r="F74" s="35" t="s">
        <v>451</v>
      </c>
      <c r="G74" s="35" t="s">
        <v>375</v>
      </c>
      <c r="H74" s="35" t="s">
        <v>481</v>
      </c>
      <c r="I74" s="35"/>
      <c r="J74" s="35"/>
      <c r="K74" s="35" t="s">
        <v>365</v>
      </c>
      <c r="L74" s="35"/>
      <c r="M74" s="35" t="s">
        <v>211</v>
      </c>
      <c r="N74" s="35" t="s">
        <v>224</v>
      </c>
      <c r="O74" s="35"/>
      <c r="P74" s="21" t="s">
        <v>1806</v>
      </c>
      <c r="Q74" s="35" t="s">
        <v>482</v>
      </c>
    </row>
    <row r="75" spans="1:17" ht="26">
      <c r="A75" s="35" t="s">
        <v>607</v>
      </c>
      <c r="B75" s="35" t="s">
        <v>238</v>
      </c>
      <c r="C75" s="35" t="s">
        <v>484</v>
      </c>
      <c r="D75" s="35" t="s">
        <v>480</v>
      </c>
      <c r="E75" s="36"/>
      <c r="F75" s="35" t="s">
        <v>451</v>
      </c>
      <c r="G75" s="35" t="s">
        <v>375</v>
      </c>
      <c r="H75" s="35" t="s">
        <v>481</v>
      </c>
      <c r="I75" s="35"/>
      <c r="J75" s="35"/>
      <c r="K75" s="35" t="s">
        <v>365</v>
      </c>
      <c r="L75" s="35"/>
      <c r="M75" s="35" t="s">
        <v>211</v>
      </c>
      <c r="N75" s="35" t="s">
        <v>224</v>
      </c>
      <c r="O75" s="35"/>
      <c r="P75" s="21" t="s">
        <v>1806</v>
      </c>
      <c r="Q75" s="35" t="s">
        <v>482</v>
      </c>
    </row>
    <row r="76" spans="1:17" ht="26">
      <c r="A76" s="35" t="s">
        <v>608</v>
      </c>
      <c r="B76" s="35" t="s">
        <v>238</v>
      </c>
      <c r="C76" s="35" t="s">
        <v>486</v>
      </c>
      <c r="D76" s="35" t="s">
        <v>480</v>
      </c>
      <c r="E76" s="36"/>
      <c r="F76" s="35" t="s">
        <v>451</v>
      </c>
      <c r="G76" s="35" t="s">
        <v>375</v>
      </c>
      <c r="H76" s="35" t="s">
        <v>481</v>
      </c>
      <c r="I76" s="35"/>
      <c r="J76" s="35"/>
      <c r="K76" s="35" t="s">
        <v>365</v>
      </c>
      <c r="L76" s="35"/>
      <c r="M76" s="35" t="s">
        <v>211</v>
      </c>
      <c r="N76" s="35" t="s">
        <v>224</v>
      </c>
      <c r="O76" s="35"/>
      <c r="P76" s="21" t="s">
        <v>1806</v>
      </c>
      <c r="Q76" s="35" t="s">
        <v>482</v>
      </c>
    </row>
    <row r="77" spans="1:17" ht="26">
      <c r="A77" s="35" t="s">
        <v>609</v>
      </c>
      <c r="B77" s="35" t="s">
        <v>238</v>
      </c>
      <c r="C77" s="35" t="s">
        <v>488</v>
      </c>
      <c r="D77" s="35" t="s">
        <v>480</v>
      </c>
      <c r="E77" s="36"/>
      <c r="F77" s="35" t="s">
        <v>370</v>
      </c>
      <c r="G77" s="35"/>
      <c r="H77" s="35" t="s">
        <v>481</v>
      </c>
      <c r="I77" s="35"/>
      <c r="J77" s="35"/>
      <c r="K77" s="35" t="s">
        <v>365</v>
      </c>
      <c r="L77" s="35"/>
      <c r="M77" s="35" t="s">
        <v>211</v>
      </c>
      <c r="N77" s="35" t="s">
        <v>224</v>
      </c>
      <c r="O77" s="35"/>
      <c r="P77" s="21" t="s">
        <v>1806</v>
      </c>
      <c r="Q77" s="35" t="s">
        <v>482</v>
      </c>
    </row>
    <row r="78" spans="1:17" ht="26">
      <c r="A78" s="35" t="s">
        <v>610</v>
      </c>
      <c r="B78" s="35" t="s">
        <v>238</v>
      </c>
      <c r="C78" s="35" t="s">
        <v>492</v>
      </c>
      <c r="D78" s="35" t="s">
        <v>480</v>
      </c>
      <c r="E78" s="36"/>
      <c r="F78" s="35" t="s">
        <v>362</v>
      </c>
      <c r="G78" s="35"/>
      <c r="H78" s="35" t="s">
        <v>611</v>
      </c>
      <c r="I78" s="35"/>
      <c r="J78" s="35"/>
      <c r="K78" s="35" t="s">
        <v>365</v>
      </c>
      <c r="L78" s="35"/>
      <c r="M78" s="35" t="s">
        <v>211</v>
      </c>
      <c r="N78" s="35" t="s">
        <v>224</v>
      </c>
      <c r="O78" s="35"/>
      <c r="P78" s="21" t="s">
        <v>1806</v>
      </c>
      <c r="Q78" s="35" t="s">
        <v>482</v>
      </c>
    </row>
    <row r="79" spans="1:17" ht="26">
      <c r="A79" s="35" t="s">
        <v>612</v>
      </c>
      <c r="B79" s="35" t="s">
        <v>238</v>
      </c>
      <c r="C79" s="35" t="s">
        <v>497</v>
      </c>
      <c r="D79" s="35" t="s">
        <v>480</v>
      </c>
      <c r="E79" s="36"/>
      <c r="F79" s="35" t="s">
        <v>370</v>
      </c>
      <c r="G79" s="35"/>
      <c r="H79" s="35"/>
      <c r="I79" s="35"/>
      <c r="J79" s="35"/>
      <c r="K79" s="35" t="s">
        <v>365</v>
      </c>
      <c r="L79" s="35"/>
      <c r="M79" s="35" t="s">
        <v>212</v>
      </c>
      <c r="N79" s="35" t="s">
        <v>224</v>
      </c>
      <c r="O79" s="35"/>
      <c r="P79" s="21" t="s">
        <v>1806</v>
      </c>
      <c r="Q79" s="35" t="s">
        <v>482</v>
      </c>
    </row>
    <row r="80" spans="1:17" ht="26">
      <c r="A80" s="35" t="s">
        <v>613</v>
      </c>
      <c r="B80" s="35" t="s">
        <v>238</v>
      </c>
      <c r="C80" s="35" t="s">
        <v>501</v>
      </c>
      <c r="D80" s="35" t="s">
        <v>480</v>
      </c>
      <c r="E80" s="36"/>
      <c r="F80" s="35" t="s">
        <v>441</v>
      </c>
      <c r="G80" s="35"/>
      <c r="H80" s="35"/>
      <c r="I80" s="35"/>
      <c r="J80" s="35"/>
      <c r="K80" s="35" t="s">
        <v>365</v>
      </c>
      <c r="L80" s="35"/>
      <c r="M80" s="35" t="s">
        <v>212</v>
      </c>
      <c r="N80" s="35" t="s">
        <v>224</v>
      </c>
      <c r="O80" s="35"/>
      <c r="P80" s="21" t="s">
        <v>1806</v>
      </c>
      <c r="Q80" s="35" t="s">
        <v>482</v>
      </c>
    </row>
    <row r="81" spans="1:17" ht="26">
      <c r="A81" s="35" t="s">
        <v>614</v>
      </c>
      <c r="B81" s="35" t="s">
        <v>238</v>
      </c>
      <c r="C81" s="35" t="s">
        <v>505</v>
      </c>
      <c r="D81" s="35" t="s">
        <v>480</v>
      </c>
      <c r="E81" s="36"/>
      <c r="F81" s="35" t="s">
        <v>362</v>
      </c>
      <c r="G81" s="35"/>
      <c r="H81" s="35"/>
      <c r="I81" s="35"/>
      <c r="J81" s="35"/>
      <c r="K81" s="35" t="s">
        <v>365</v>
      </c>
      <c r="L81" s="35"/>
      <c r="M81" s="35" t="s">
        <v>212</v>
      </c>
      <c r="N81" s="35" t="s">
        <v>224</v>
      </c>
      <c r="O81" s="35"/>
      <c r="P81" s="21" t="s">
        <v>1806</v>
      </c>
      <c r="Q81" s="35" t="s">
        <v>482</v>
      </c>
    </row>
    <row r="82" spans="1:17" ht="26">
      <c r="A82" s="35" t="s">
        <v>615</v>
      </c>
      <c r="B82" s="35" t="s">
        <v>238</v>
      </c>
      <c r="C82" s="35" t="s">
        <v>507</v>
      </c>
      <c r="D82" s="35" t="s">
        <v>480</v>
      </c>
      <c r="E82" s="36"/>
      <c r="F82" s="35" t="s">
        <v>362</v>
      </c>
      <c r="G82" s="35"/>
      <c r="H82" s="35"/>
      <c r="I82" s="35"/>
      <c r="J82" s="35"/>
      <c r="K82" s="35" t="s">
        <v>365</v>
      </c>
      <c r="L82" s="35"/>
      <c r="M82" s="35" t="s">
        <v>212</v>
      </c>
      <c r="N82" s="35" t="s">
        <v>224</v>
      </c>
      <c r="O82" s="35"/>
      <c r="P82" s="21" t="s">
        <v>1806</v>
      </c>
      <c r="Q82" s="35" t="s">
        <v>482</v>
      </c>
    </row>
    <row r="83" spans="1:17" ht="26">
      <c r="A83" s="35" t="s">
        <v>616</v>
      </c>
      <c r="B83" s="35" t="s">
        <v>238</v>
      </c>
      <c r="C83" s="35" t="s">
        <v>512</v>
      </c>
      <c r="D83" s="35" t="s">
        <v>480</v>
      </c>
      <c r="E83" s="36"/>
      <c r="F83" s="35" t="s">
        <v>362</v>
      </c>
      <c r="G83" s="35"/>
      <c r="H83" s="35"/>
      <c r="I83" s="35"/>
      <c r="J83" s="35"/>
      <c r="K83" s="35" t="s">
        <v>365</v>
      </c>
      <c r="L83" s="35"/>
      <c r="M83" s="35" t="s">
        <v>212</v>
      </c>
      <c r="N83" s="35" t="s">
        <v>224</v>
      </c>
      <c r="O83" s="35"/>
      <c r="P83" s="21" t="s">
        <v>1806</v>
      </c>
      <c r="Q83" s="35" t="s">
        <v>482</v>
      </c>
    </row>
    <row r="84" spans="1:17" ht="26">
      <c r="A84" s="35" t="s">
        <v>617</v>
      </c>
      <c r="B84" s="35" t="s">
        <v>238</v>
      </c>
      <c r="C84" s="35" t="s">
        <v>450</v>
      </c>
      <c r="D84" s="35" t="s">
        <v>360</v>
      </c>
      <c r="E84" s="36">
        <v>34</v>
      </c>
      <c r="F84" s="35" t="s">
        <v>451</v>
      </c>
      <c r="G84" s="35" t="s">
        <v>452</v>
      </c>
      <c r="H84" s="35" t="s">
        <v>618</v>
      </c>
      <c r="I84" s="35">
        <v>2</v>
      </c>
      <c r="J84" s="35" t="s">
        <v>619</v>
      </c>
      <c r="K84" s="35" t="s">
        <v>365</v>
      </c>
      <c r="L84" s="35" t="s">
        <v>366</v>
      </c>
      <c r="M84" s="35" t="s">
        <v>212</v>
      </c>
      <c r="N84" s="35" t="s">
        <v>224</v>
      </c>
      <c r="O84" s="35"/>
      <c r="P84" s="21" t="s">
        <v>1806</v>
      </c>
      <c r="Q84" s="35" t="s">
        <v>472</v>
      </c>
    </row>
    <row r="85" spans="1:17" ht="26">
      <c r="A85" s="35" t="s">
        <v>620</v>
      </c>
      <c r="B85" s="35" t="s">
        <v>238</v>
      </c>
      <c r="C85" s="35" t="s">
        <v>456</v>
      </c>
      <c r="D85" s="35" t="s">
        <v>360</v>
      </c>
      <c r="E85" s="36" t="s">
        <v>621</v>
      </c>
      <c r="F85" s="35" t="s">
        <v>362</v>
      </c>
      <c r="G85" s="35" t="s">
        <v>458</v>
      </c>
      <c r="H85" s="35" t="s">
        <v>621</v>
      </c>
      <c r="I85" s="35">
        <v>2</v>
      </c>
      <c r="J85" s="35" t="s">
        <v>622</v>
      </c>
      <c r="K85" s="35" t="s">
        <v>365</v>
      </c>
      <c r="L85" s="35" t="s">
        <v>366</v>
      </c>
      <c r="M85" s="35" t="s">
        <v>212</v>
      </c>
      <c r="N85" s="35" t="s">
        <v>224</v>
      </c>
      <c r="O85" s="35"/>
      <c r="P85" s="21" t="s">
        <v>1806</v>
      </c>
      <c r="Q85" s="35" t="s">
        <v>472</v>
      </c>
    </row>
    <row r="86" spans="1:17" ht="26">
      <c r="A86" s="35" t="s">
        <v>623</v>
      </c>
      <c r="B86" s="35" t="s">
        <v>238</v>
      </c>
      <c r="C86" s="35" t="s">
        <v>462</v>
      </c>
      <c r="D86" s="35" t="s">
        <v>480</v>
      </c>
      <c r="E86" s="36"/>
      <c r="F86" s="35" t="s">
        <v>362</v>
      </c>
      <c r="G86" s="35" t="s">
        <v>464</v>
      </c>
      <c r="H86" s="35"/>
      <c r="I86" s="35"/>
      <c r="J86" s="35"/>
      <c r="K86" s="35" t="s">
        <v>365</v>
      </c>
      <c r="L86" s="35"/>
      <c r="M86" s="35" t="s">
        <v>212</v>
      </c>
      <c r="N86" s="35" t="s">
        <v>224</v>
      </c>
      <c r="O86" s="35"/>
      <c r="P86" s="21" t="s">
        <v>1806</v>
      </c>
      <c r="Q86" s="35" t="s">
        <v>482</v>
      </c>
    </row>
    <row r="87" spans="1:17" ht="26">
      <c r="A87" s="35" t="s">
        <v>624</v>
      </c>
      <c r="B87" s="35" t="s">
        <v>243</v>
      </c>
      <c r="C87" s="35" t="s">
        <v>625</v>
      </c>
      <c r="D87" s="35" t="s">
        <v>360</v>
      </c>
      <c r="E87" s="36" t="s">
        <v>626</v>
      </c>
      <c r="F87" s="35" t="s">
        <v>362</v>
      </c>
      <c r="G87" s="35"/>
      <c r="H87" s="35" t="s">
        <v>627</v>
      </c>
      <c r="I87" s="35">
        <v>3</v>
      </c>
      <c r="J87" s="35" t="s">
        <v>628</v>
      </c>
      <c r="K87" s="35" t="s">
        <v>365</v>
      </c>
      <c r="L87" s="35" t="s">
        <v>366</v>
      </c>
      <c r="M87" s="35" t="s">
        <v>211</v>
      </c>
      <c r="N87" s="35" t="s">
        <v>224</v>
      </c>
      <c r="O87" s="35"/>
      <c r="P87" s="21" t="s">
        <v>1806</v>
      </c>
      <c r="Q87" s="35" t="s">
        <v>472</v>
      </c>
    </row>
    <row r="88" spans="1:17" ht="26">
      <c r="A88" s="35" t="s">
        <v>629</v>
      </c>
      <c r="B88" s="35" t="s">
        <v>243</v>
      </c>
      <c r="C88" s="35" t="s">
        <v>630</v>
      </c>
      <c r="D88" s="35" t="s">
        <v>360</v>
      </c>
      <c r="E88" s="36" t="s">
        <v>631</v>
      </c>
      <c r="F88" s="35" t="s">
        <v>362</v>
      </c>
      <c r="G88" s="35"/>
      <c r="H88" s="35" t="s">
        <v>632</v>
      </c>
      <c r="I88" s="35">
        <v>3</v>
      </c>
      <c r="J88" s="35" t="s">
        <v>633</v>
      </c>
      <c r="K88" s="35" t="s">
        <v>365</v>
      </c>
      <c r="L88" s="35" t="s">
        <v>366</v>
      </c>
      <c r="M88" s="35" t="s">
        <v>211</v>
      </c>
      <c r="N88" s="35" t="s">
        <v>224</v>
      </c>
      <c r="O88" s="35"/>
      <c r="P88" s="21" t="s">
        <v>1806</v>
      </c>
      <c r="Q88" s="35" t="s">
        <v>472</v>
      </c>
    </row>
    <row r="89" spans="1:17" ht="26">
      <c r="A89" s="35" t="s">
        <v>634</v>
      </c>
      <c r="B89" s="35" t="s">
        <v>243</v>
      </c>
      <c r="C89" s="35" t="s">
        <v>635</v>
      </c>
      <c r="D89" s="35" t="s">
        <v>360</v>
      </c>
      <c r="E89" s="36">
        <v>100</v>
      </c>
      <c r="F89" s="35" t="s">
        <v>451</v>
      </c>
      <c r="G89" s="35" t="s">
        <v>554</v>
      </c>
      <c r="H89" s="35" t="s">
        <v>636</v>
      </c>
      <c r="I89" s="35">
        <v>3</v>
      </c>
      <c r="J89" s="35" t="s">
        <v>637</v>
      </c>
      <c r="K89" s="35" t="s">
        <v>365</v>
      </c>
      <c r="L89" s="35" t="s">
        <v>366</v>
      </c>
      <c r="M89" s="35" t="s">
        <v>211</v>
      </c>
      <c r="N89" s="35" t="s">
        <v>224</v>
      </c>
      <c r="O89" s="35"/>
      <c r="P89" s="21" t="s">
        <v>1806</v>
      </c>
      <c r="Q89" s="35" t="s">
        <v>472</v>
      </c>
    </row>
    <row r="90" spans="1:17" ht="26">
      <c r="A90" s="35" t="s">
        <v>638</v>
      </c>
      <c r="B90" s="35" t="s">
        <v>243</v>
      </c>
      <c r="C90" s="35" t="s">
        <v>639</v>
      </c>
      <c r="D90" s="35" t="s">
        <v>360</v>
      </c>
      <c r="E90" s="36">
        <v>850</v>
      </c>
      <c r="F90" s="35" t="s">
        <v>370</v>
      </c>
      <c r="G90" s="35" t="s">
        <v>640</v>
      </c>
      <c r="H90" s="35" t="s">
        <v>641</v>
      </c>
      <c r="I90" s="35">
        <v>10</v>
      </c>
      <c r="J90" s="35" t="s">
        <v>642</v>
      </c>
      <c r="K90" s="35" t="s">
        <v>365</v>
      </c>
      <c r="L90" s="35" t="s">
        <v>366</v>
      </c>
      <c r="M90" s="35" t="s">
        <v>211</v>
      </c>
      <c r="N90" s="35" t="s">
        <v>224</v>
      </c>
      <c r="O90" s="35"/>
      <c r="P90" s="21" t="s">
        <v>1806</v>
      </c>
      <c r="Q90" s="35" t="s">
        <v>472</v>
      </c>
    </row>
    <row r="91" spans="1:17" ht="26">
      <c r="A91" s="35" t="s">
        <v>643</v>
      </c>
      <c r="B91" s="35" t="s">
        <v>243</v>
      </c>
      <c r="C91" s="35" t="s">
        <v>644</v>
      </c>
      <c r="D91" s="35" t="s">
        <v>360</v>
      </c>
      <c r="E91" s="36" t="s">
        <v>645</v>
      </c>
      <c r="F91" s="35" t="s">
        <v>362</v>
      </c>
      <c r="G91" s="35"/>
      <c r="H91" s="35" t="s">
        <v>646</v>
      </c>
      <c r="I91" s="35">
        <v>10</v>
      </c>
      <c r="J91" s="35" t="s">
        <v>647</v>
      </c>
      <c r="K91" s="35" t="s">
        <v>365</v>
      </c>
      <c r="L91" s="35" t="s">
        <v>366</v>
      </c>
      <c r="M91" s="35" t="s">
        <v>211</v>
      </c>
      <c r="N91" s="35" t="s">
        <v>224</v>
      </c>
      <c r="O91" s="35"/>
      <c r="P91" s="21" t="s">
        <v>1806</v>
      </c>
      <c r="Q91" s="35" t="s">
        <v>472</v>
      </c>
    </row>
    <row r="92" spans="1:17" ht="26">
      <c r="A92" s="35" t="s">
        <v>648</v>
      </c>
      <c r="B92" s="35" t="s">
        <v>243</v>
      </c>
      <c r="C92" s="35" t="s">
        <v>649</v>
      </c>
      <c r="D92" s="35" t="s">
        <v>360</v>
      </c>
      <c r="E92" s="36">
        <v>0.1</v>
      </c>
      <c r="F92" s="35" t="s">
        <v>451</v>
      </c>
      <c r="G92" s="35" t="s">
        <v>650</v>
      </c>
      <c r="H92" s="35" t="s">
        <v>651</v>
      </c>
      <c r="I92" s="35">
        <v>10</v>
      </c>
      <c r="J92" s="35" t="s">
        <v>652</v>
      </c>
      <c r="K92" s="35" t="s">
        <v>365</v>
      </c>
      <c r="L92" s="35" t="s">
        <v>366</v>
      </c>
      <c r="M92" s="35" t="s">
        <v>211</v>
      </c>
      <c r="N92" s="35" t="s">
        <v>224</v>
      </c>
      <c r="O92" s="35"/>
      <c r="P92" s="21" t="s">
        <v>1806</v>
      </c>
      <c r="Q92" s="35" t="s">
        <v>472</v>
      </c>
    </row>
    <row r="93" spans="1:17" ht="26">
      <c r="A93" s="35" t="s">
        <v>653</v>
      </c>
      <c r="B93" s="35" t="s">
        <v>243</v>
      </c>
      <c r="C93" s="35" t="s">
        <v>654</v>
      </c>
      <c r="D93" s="35" t="s">
        <v>480</v>
      </c>
      <c r="E93" s="36"/>
      <c r="F93" s="35" t="s">
        <v>362</v>
      </c>
      <c r="G93" s="35"/>
      <c r="H93" s="35"/>
      <c r="I93" s="35"/>
      <c r="J93" s="35"/>
      <c r="K93" s="35" t="s">
        <v>365</v>
      </c>
      <c r="L93" s="35"/>
      <c r="M93" s="35" t="s">
        <v>212</v>
      </c>
      <c r="N93" s="35" t="s">
        <v>224</v>
      </c>
      <c r="O93" s="35"/>
      <c r="P93" s="21" t="s">
        <v>1806</v>
      </c>
      <c r="Q93" s="35" t="s">
        <v>482</v>
      </c>
    </row>
    <row r="94" spans="1:17" ht="26">
      <c r="A94" s="35" t="s">
        <v>655</v>
      </c>
      <c r="B94" s="35" t="s">
        <v>243</v>
      </c>
      <c r="C94" s="35" t="s">
        <v>456</v>
      </c>
      <c r="D94" s="35" t="s">
        <v>360</v>
      </c>
      <c r="E94" s="36" t="s">
        <v>656</v>
      </c>
      <c r="F94" s="35" t="s">
        <v>362</v>
      </c>
      <c r="G94" s="35" t="s">
        <v>458</v>
      </c>
      <c r="H94" s="35" t="s">
        <v>657</v>
      </c>
      <c r="I94" s="35">
        <v>16</v>
      </c>
      <c r="J94" s="35" t="s">
        <v>658</v>
      </c>
      <c r="K94" s="35" t="s">
        <v>365</v>
      </c>
      <c r="L94" s="35" t="s">
        <v>366</v>
      </c>
      <c r="M94" s="35" t="s">
        <v>212</v>
      </c>
      <c r="N94" s="35" t="s">
        <v>224</v>
      </c>
      <c r="O94" s="35"/>
      <c r="P94" s="21" t="s">
        <v>1806</v>
      </c>
      <c r="Q94" s="35" t="s">
        <v>472</v>
      </c>
    </row>
    <row r="95" spans="1:17" ht="26">
      <c r="A95" s="35" t="s">
        <v>659</v>
      </c>
      <c r="B95" s="35" t="s">
        <v>243</v>
      </c>
      <c r="C95" s="35" t="s">
        <v>462</v>
      </c>
      <c r="D95" s="35" t="s">
        <v>480</v>
      </c>
      <c r="E95" s="36"/>
      <c r="F95" s="35" t="s">
        <v>362</v>
      </c>
      <c r="G95" s="35" t="s">
        <v>464</v>
      </c>
      <c r="H95" s="35"/>
      <c r="I95" s="35"/>
      <c r="J95" s="35"/>
      <c r="K95" s="35" t="s">
        <v>365</v>
      </c>
      <c r="L95" s="35"/>
      <c r="M95" s="35" t="s">
        <v>212</v>
      </c>
      <c r="N95" s="35" t="s">
        <v>224</v>
      </c>
      <c r="O95" s="35"/>
      <c r="P95" s="21" t="s">
        <v>1806</v>
      </c>
      <c r="Q95" s="35" t="s">
        <v>482</v>
      </c>
    </row>
    <row r="96" spans="1:17" ht="26">
      <c r="A96" s="35" t="s">
        <v>660</v>
      </c>
      <c r="B96" s="35" t="s">
        <v>249</v>
      </c>
      <c r="C96" s="35" t="s">
        <v>396</v>
      </c>
      <c r="D96" s="35" t="s">
        <v>360</v>
      </c>
      <c r="E96" s="36" t="s">
        <v>661</v>
      </c>
      <c r="F96" s="35" t="s">
        <v>362</v>
      </c>
      <c r="G96" s="35"/>
      <c r="H96" s="35" t="s">
        <v>662</v>
      </c>
      <c r="I96" s="35">
        <v>1</v>
      </c>
      <c r="J96" s="35" t="s">
        <v>663</v>
      </c>
      <c r="K96" s="35" t="s">
        <v>365</v>
      </c>
      <c r="L96" s="35" t="s">
        <v>366</v>
      </c>
      <c r="M96" s="35" t="s">
        <v>211</v>
      </c>
      <c r="N96" s="35" t="s">
        <v>224</v>
      </c>
      <c r="O96" s="35"/>
      <c r="P96" s="21" t="s">
        <v>1806</v>
      </c>
      <c r="Q96" s="35" t="s">
        <v>472</v>
      </c>
    </row>
    <row r="97" spans="1:17" ht="26">
      <c r="A97" s="35" t="s">
        <v>664</v>
      </c>
      <c r="B97" s="35" t="s">
        <v>249</v>
      </c>
      <c r="C97" s="35" t="s">
        <v>550</v>
      </c>
      <c r="D97" s="35" t="s">
        <v>360</v>
      </c>
      <c r="E97" s="36" t="s">
        <v>665</v>
      </c>
      <c r="F97" s="35" t="s">
        <v>362</v>
      </c>
      <c r="G97" s="35"/>
      <c r="H97" s="35" t="s">
        <v>666</v>
      </c>
      <c r="I97" s="35">
        <v>1</v>
      </c>
      <c r="J97" s="35" t="s">
        <v>667</v>
      </c>
      <c r="K97" s="35" t="s">
        <v>365</v>
      </c>
      <c r="L97" s="35" t="s">
        <v>366</v>
      </c>
      <c r="M97" s="35" t="s">
        <v>211</v>
      </c>
      <c r="N97" s="35" t="s">
        <v>224</v>
      </c>
      <c r="O97" s="35"/>
      <c r="P97" s="21" t="s">
        <v>1806</v>
      </c>
      <c r="Q97" s="35" t="s">
        <v>472</v>
      </c>
    </row>
    <row r="98" spans="1:17" ht="26">
      <c r="A98" s="35" t="s">
        <v>668</v>
      </c>
      <c r="B98" s="35" t="s">
        <v>249</v>
      </c>
      <c r="C98" s="35" t="s">
        <v>553</v>
      </c>
      <c r="D98" s="35" t="s">
        <v>360</v>
      </c>
      <c r="E98" s="36">
        <v>2</v>
      </c>
      <c r="F98" s="35" t="s">
        <v>451</v>
      </c>
      <c r="G98" s="35" t="s">
        <v>554</v>
      </c>
      <c r="H98" s="35" t="s">
        <v>669</v>
      </c>
      <c r="I98" s="35">
        <v>1</v>
      </c>
      <c r="J98" s="35" t="s">
        <v>670</v>
      </c>
      <c r="K98" s="35" t="s">
        <v>365</v>
      </c>
      <c r="L98" s="35" t="s">
        <v>366</v>
      </c>
      <c r="M98" s="35" t="s">
        <v>211</v>
      </c>
      <c r="N98" s="35" t="s">
        <v>224</v>
      </c>
      <c r="O98" s="35"/>
      <c r="P98" s="21" t="s">
        <v>1806</v>
      </c>
      <c r="Q98" s="35" t="s">
        <v>472</v>
      </c>
    </row>
    <row r="99" spans="1:17" ht="26">
      <c r="A99" s="35" t="s">
        <v>671</v>
      </c>
      <c r="B99" s="35" t="s">
        <v>249</v>
      </c>
      <c r="C99" s="35" t="s">
        <v>558</v>
      </c>
      <c r="D99" s="35" t="s">
        <v>360</v>
      </c>
      <c r="E99" s="36">
        <v>1.49</v>
      </c>
      <c r="F99" s="35" t="s">
        <v>451</v>
      </c>
      <c r="G99" s="35" t="s">
        <v>559</v>
      </c>
      <c r="H99" s="35" t="s">
        <v>672</v>
      </c>
      <c r="I99" s="35">
        <v>1</v>
      </c>
      <c r="J99" s="35" t="s">
        <v>673</v>
      </c>
      <c r="K99" s="35" t="s">
        <v>365</v>
      </c>
      <c r="L99" s="35" t="s">
        <v>366</v>
      </c>
      <c r="M99" s="35" t="s">
        <v>211</v>
      </c>
      <c r="N99" s="35" t="s">
        <v>224</v>
      </c>
      <c r="O99" s="35"/>
      <c r="P99" s="21" t="s">
        <v>1806</v>
      </c>
      <c r="Q99" s="35" t="s">
        <v>472</v>
      </c>
    </row>
    <row r="100" spans="1:17" ht="26">
      <c r="A100" s="35" t="s">
        <v>674</v>
      </c>
      <c r="B100" s="35" t="s">
        <v>249</v>
      </c>
      <c r="C100" s="35" t="s">
        <v>564</v>
      </c>
      <c r="D100" s="35" t="s">
        <v>360</v>
      </c>
      <c r="E100" s="36" t="s">
        <v>675</v>
      </c>
      <c r="F100" s="35" t="s">
        <v>362</v>
      </c>
      <c r="G100" s="35"/>
      <c r="H100" s="35" t="s">
        <v>676</v>
      </c>
      <c r="I100" s="35">
        <v>1</v>
      </c>
      <c r="J100" s="35" t="s">
        <v>677</v>
      </c>
      <c r="K100" s="35" t="s">
        <v>365</v>
      </c>
      <c r="L100" s="35" t="s">
        <v>366</v>
      </c>
      <c r="M100" s="35" t="s">
        <v>211</v>
      </c>
      <c r="N100" s="35" t="s">
        <v>224</v>
      </c>
      <c r="O100" s="35"/>
      <c r="P100" s="21" t="s">
        <v>1806</v>
      </c>
      <c r="Q100" s="35" t="s">
        <v>472</v>
      </c>
    </row>
    <row r="101" spans="1:17" ht="26">
      <c r="A101" s="35" t="s">
        <v>678</v>
      </c>
      <c r="B101" s="35" t="s">
        <v>249</v>
      </c>
      <c r="C101" s="35" t="s">
        <v>567</v>
      </c>
      <c r="D101" s="35" t="s">
        <v>360</v>
      </c>
      <c r="E101" s="36">
        <v>8</v>
      </c>
      <c r="F101" s="35" t="s">
        <v>370</v>
      </c>
      <c r="G101" s="35"/>
      <c r="H101" s="35" t="s">
        <v>679</v>
      </c>
      <c r="I101" s="35">
        <v>1</v>
      </c>
      <c r="J101" s="35" t="s">
        <v>680</v>
      </c>
      <c r="K101" s="35" t="s">
        <v>365</v>
      </c>
      <c r="L101" s="35" t="s">
        <v>366</v>
      </c>
      <c r="M101" s="35" t="s">
        <v>211</v>
      </c>
      <c r="N101" s="35" t="s">
        <v>224</v>
      </c>
      <c r="O101" s="35"/>
      <c r="P101" s="21" t="s">
        <v>1806</v>
      </c>
      <c r="Q101" s="35" t="s">
        <v>472</v>
      </c>
    </row>
    <row r="102" spans="1:17" ht="26">
      <c r="A102" s="35" t="s">
        <v>681</v>
      </c>
      <c r="B102" s="35" t="s">
        <v>249</v>
      </c>
      <c r="C102" s="35" t="s">
        <v>569</v>
      </c>
      <c r="D102" s="35" t="s">
        <v>360</v>
      </c>
      <c r="E102" s="36">
        <v>65</v>
      </c>
      <c r="F102" s="35" t="s">
        <v>451</v>
      </c>
      <c r="G102" s="35" t="s">
        <v>452</v>
      </c>
      <c r="H102" s="35" t="s">
        <v>682</v>
      </c>
      <c r="I102" s="35">
        <v>1</v>
      </c>
      <c r="J102" s="35" t="s">
        <v>683</v>
      </c>
      <c r="K102" s="35" t="s">
        <v>365</v>
      </c>
      <c r="L102" s="35" t="s">
        <v>366</v>
      </c>
      <c r="M102" s="35" t="s">
        <v>211</v>
      </c>
      <c r="N102" s="35" t="s">
        <v>224</v>
      </c>
      <c r="O102" s="35"/>
      <c r="P102" s="21" t="s">
        <v>1806</v>
      </c>
      <c r="Q102" s="35" t="s">
        <v>472</v>
      </c>
    </row>
    <row r="103" spans="1:17" ht="26">
      <c r="A103" s="35" t="s">
        <v>684</v>
      </c>
      <c r="B103" s="35" t="s">
        <v>249</v>
      </c>
      <c r="C103" s="35" t="s">
        <v>571</v>
      </c>
      <c r="D103" s="35" t="s">
        <v>360</v>
      </c>
      <c r="E103" s="36" t="s">
        <v>440</v>
      </c>
      <c r="F103" s="35" t="s">
        <v>441</v>
      </c>
      <c r="G103" s="35"/>
      <c r="H103" s="35" t="s">
        <v>685</v>
      </c>
      <c r="I103" s="35">
        <v>1</v>
      </c>
      <c r="J103" s="35" t="s">
        <v>686</v>
      </c>
      <c r="K103" s="35" t="s">
        <v>365</v>
      </c>
      <c r="L103" s="35" t="s">
        <v>366</v>
      </c>
      <c r="M103" s="35" t="s">
        <v>211</v>
      </c>
      <c r="N103" s="35" t="s">
        <v>224</v>
      </c>
      <c r="O103" s="35"/>
      <c r="P103" s="21" t="s">
        <v>1806</v>
      </c>
      <c r="Q103" s="35" t="s">
        <v>472</v>
      </c>
    </row>
    <row r="104" spans="1:17" ht="26">
      <c r="A104" s="35" t="s">
        <v>687</v>
      </c>
      <c r="B104" s="35" t="s">
        <v>249</v>
      </c>
      <c r="C104" s="35" t="s">
        <v>574</v>
      </c>
      <c r="D104" s="35" t="s">
        <v>360</v>
      </c>
      <c r="E104" s="36" t="s">
        <v>440</v>
      </c>
      <c r="F104" s="35" t="s">
        <v>441</v>
      </c>
      <c r="G104" s="35"/>
      <c r="H104" s="35" t="s">
        <v>688</v>
      </c>
      <c r="I104" s="35">
        <v>1</v>
      </c>
      <c r="J104" s="35" t="s">
        <v>689</v>
      </c>
      <c r="K104" s="35" t="s">
        <v>365</v>
      </c>
      <c r="L104" s="35" t="s">
        <v>366</v>
      </c>
      <c r="M104" s="35" t="s">
        <v>211</v>
      </c>
      <c r="N104" s="35" t="s">
        <v>224</v>
      </c>
      <c r="O104" s="35"/>
      <c r="P104" s="21" t="s">
        <v>1806</v>
      </c>
      <c r="Q104" s="35" t="s">
        <v>472</v>
      </c>
    </row>
    <row r="105" spans="1:17" ht="26">
      <c r="A105" s="35" t="s">
        <v>690</v>
      </c>
      <c r="B105" s="35" t="s">
        <v>249</v>
      </c>
      <c r="C105" s="35" t="s">
        <v>577</v>
      </c>
      <c r="D105" s="35" t="s">
        <v>480</v>
      </c>
      <c r="E105" s="36"/>
      <c r="F105" s="35" t="s">
        <v>441</v>
      </c>
      <c r="G105" s="35"/>
      <c r="H105" s="35" t="s">
        <v>481</v>
      </c>
      <c r="I105" s="35"/>
      <c r="J105" s="35"/>
      <c r="K105" s="35" t="s">
        <v>365</v>
      </c>
      <c r="L105" s="35"/>
      <c r="M105" s="35" t="s">
        <v>211</v>
      </c>
      <c r="N105" s="35" t="s">
        <v>224</v>
      </c>
      <c r="O105" s="35"/>
      <c r="P105" s="21" t="s">
        <v>1806</v>
      </c>
      <c r="Q105" s="35" t="s">
        <v>482</v>
      </c>
    </row>
    <row r="106" spans="1:17" ht="25">
      <c r="A106" s="37" t="s">
        <v>691</v>
      </c>
      <c r="B106" s="37" t="s">
        <v>249</v>
      </c>
      <c r="C106" s="37" t="s">
        <v>580</v>
      </c>
      <c r="D106" s="37" t="s">
        <v>480</v>
      </c>
      <c r="E106" s="38"/>
      <c r="F106" s="37" t="s">
        <v>441</v>
      </c>
      <c r="G106" s="37"/>
      <c r="H106" s="37" t="s">
        <v>481</v>
      </c>
      <c r="I106" s="37"/>
      <c r="J106" s="37"/>
      <c r="K106" s="37" t="s">
        <v>365</v>
      </c>
      <c r="L106" s="37"/>
      <c r="M106" s="37" t="s">
        <v>211</v>
      </c>
      <c r="N106" s="37" t="s">
        <v>224</v>
      </c>
      <c r="O106" s="37"/>
      <c r="P106" s="21" t="s">
        <v>1806</v>
      </c>
      <c r="Q106" s="37" t="s">
        <v>482</v>
      </c>
    </row>
    <row r="107" spans="1:17" ht="25">
      <c r="A107" s="37" t="s">
        <v>692</v>
      </c>
      <c r="B107" s="37" t="s">
        <v>249</v>
      </c>
      <c r="C107" s="37" t="s">
        <v>583</v>
      </c>
      <c r="D107" s="37" t="s">
        <v>480</v>
      </c>
      <c r="E107" s="38"/>
      <c r="F107" s="37" t="s">
        <v>441</v>
      </c>
      <c r="G107" s="37"/>
      <c r="H107" s="37"/>
      <c r="I107" s="37"/>
      <c r="J107" s="37"/>
      <c r="K107" s="37" t="s">
        <v>365</v>
      </c>
      <c r="L107" s="37"/>
      <c r="M107" s="37" t="s">
        <v>212</v>
      </c>
      <c r="N107" s="37" t="s">
        <v>224</v>
      </c>
      <c r="O107" s="37"/>
      <c r="P107" s="21" t="s">
        <v>1806</v>
      </c>
      <c r="Q107" s="37" t="s">
        <v>482</v>
      </c>
    </row>
    <row r="108" spans="1:17" ht="25">
      <c r="A108" s="37" t="s">
        <v>693</v>
      </c>
      <c r="B108" s="37" t="s">
        <v>249</v>
      </c>
      <c r="C108" s="37" t="s">
        <v>587</v>
      </c>
      <c r="D108" s="37" t="s">
        <v>480</v>
      </c>
      <c r="E108" s="38"/>
      <c r="F108" s="37" t="s">
        <v>362</v>
      </c>
      <c r="G108" s="37"/>
      <c r="H108" s="37"/>
      <c r="I108" s="37"/>
      <c r="J108" s="37"/>
      <c r="K108" s="37" t="s">
        <v>365</v>
      </c>
      <c r="L108" s="37"/>
      <c r="M108" s="37" t="s">
        <v>212</v>
      </c>
      <c r="N108" s="37" t="s">
        <v>224</v>
      </c>
      <c r="O108" s="37"/>
      <c r="P108" s="21" t="s">
        <v>1806</v>
      </c>
      <c r="Q108" s="37" t="s">
        <v>482</v>
      </c>
    </row>
    <row r="109" spans="1:17" ht="25">
      <c r="A109" s="37" t="s">
        <v>694</v>
      </c>
      <c r="B109" s="37" t="s">
        <v>249</v>
      </c>
      <c r="C109" s="37" t="s">
        <v>450</v>
      </c>
      <c r="D109" s="37" t="s">
        <v>360</v>
      </c>
      <c r="E109" s="38">
        <v>65</v>
      </c>
      <c r="F109" s="37" t="s">
        <v>451</v>
      </c>
      <c r="G109" s="37" t="s">
        <v>452</v>
      </c>
      <c r="H109" s="37" t="s">
        <v>695</v>
      </c>
      <c r="I109" s="37">
        <v>1</v>
      </c>
      <c r="J109" s="37" t="s">
        <v>696</v>
      </c>
      <c r="K109" s="37" t="s">
        <v>365</v>
      </c>
      <c r="L109" s="37" t="s">
        <v>366</v>
      </c>
      <c r="M109" s="37" t="s">
        <v>212</v>
      </c>
      <c r="N109" s="37" t="s">
        <v>224</v>
      </c>
      <c r="O109" s="37"/>
      <c r="P109" s="21" t="s">
        <v>1806</v>
      </c>
      <c r="Q109" s="37" t="s">
        <v>472</v>
      </c>
    </row>
    <row r="110" spans="1:17" ht="25">
      <c r="A110" s="37" t="s">
        <v>697</v>
      </c>
      <c r="B110" s="37" t="s">
        <v>249</v>
      </c>
      <c r="C110" s="37" t="s">
        <v>456</v>
      </c>
      <c r="D110" s="37" t="s">
        <v>360</v>
      </c>
      <c r="E110" s="38" t="s">
        <v>698</v>
      </c>
      <c r="F110" s="37" t="s">
        <v>362</v>
      </c>
      <c r="G110" s="37" t="s">
        <v>458</v>
      </c>
      <c r="H110" s="37" t="s">
        <v>698</v>
      </c>
      <c r="I110" s="37">
        <v>1</v>
      </c>
      <c r="J110" s="37" t="s">
        <v>699</v>
      </c>
      <c r="K110" s="37" t="s">
        <v>365</v>
      </c>
      <c r="L110" s="37" t="s">
        <v>366</v>
      </c>
      <c r="M110" s="37" t="s">
        <v>212</v>
      </c>
      <c r="N110" s="37" t="s">
        <v>224</v>
      </c>
      <c r="O110" s="37"/>
      <c r="P110" s="21" t="s">
        <v>1806</v>
      </c>
      <c r="Q110" s="37" t="s">
        <v>472</v>
      </c>
    </row>
    <row r="111" spans="1:17" ht="25">
      <c r="A111" s="37" t="s">
        <v>700</v>
      </c>
      <c r="B111" s="37" t="s">
        <v>249</v>
      </c>
      <c r="C111" s="37" t="s">
        <v>462</v>
      </c>
      <c r="D111" s="37" t="s">
        <v>360</v>
      </c>
      <c r="E111" s="38" t="s">
        <v>701</v>
      </c>
      <c r="F111" s="37" t="s">
        <v>362</v>
      </c>
      <c r="G111" s="37" t="s">
        <v>464</v>
      </c>
      <c r="H111" s="37" t="s">
        <v>702</v>
      </c>
      <c r="I111" s="37">
        <v>1</v>
      </c>
      <c r="J111" s="37" t="s">
        <v>703</v>
      </c>
      <c r="K111" s="37" t="s">
        <v>365</v>
      </c>
      <c r="L111" s="37" t="s">
        <v>366</v>
      </c>
      <c r="M111" s="37" t="s">
        <v>212</v>
      </c>
      <c r="N111" s="37" t="s">
        <v>224</v>
      </c>
      <c r="O111" s="37"/>
      <c r="P111" s="21" t="s">
        <v>1806</v>
      </c>
      <c r="Q111" s="37" t="s">
        <v>472</v>
      </c>
    </row>
    <row r="112" spans="1:17" ht="25">
      <c r="A112" s="37" t="s">
        <v>704</v>
      </c>
      <c r="B112" s="37" t="s">
        <v>254</v>
      </c>
      <c r="C112" s="37" t="s">
        <v>625</v>
      </c>
      <c r="D112" s="37" t="s">
        <v>360</v>
      </c>
      <c r="E112" s="38" t="s">
        <v>705</v>
      </c>
      <c r="F112" s="37" t="s">
        <v>362</v>
      </c>
      <c r="G112" s="37"/>
      <c r="H112" s="37" t="s">
        <v>706</v>
      </c>
      <c r="I112" s="37">
        <v>1</v>
      </c>
      <c r="J112" s="37" t="s">
        <v>707</v>
      </c>
      <c r="K112" s="37" t="s">
        <v>365</v>
      </c>
      <c r="L112" s="37" t="s">
        <v>366</v>
      </c>
      <c r="M112" s="37" t="s">
        <v>211</v>
      </c>
      <c r="N112" s="37" t="s">
        <v>224</v>
      </c>
      <c r="O112" s="37"/>
      <c r="P112" s="21" t="s">
        <v>1806</v>
      </c>
      <c r="Q112" s="37" t="s">
        <v>472</v>
      </c>
    </row>
    <row r="113" spans="1:17" ht="25">
      <c r="A113" s="37" t="s">
        <v>708</v>
      </c>
      <c r="B113" s="37" t="s">
        <v>254</v>
      </c>
      <c r="C113" s="37" t="s">
        <v>630</v>
      </c>
      <c r="D113" s="37" t="s">
        <v>360</v>
      </c>
      <c r="E113" s="38" t="s">
        <v>709</v>
      </c>
      <c r="F113" s="37" t="s">
        <v>362</v>
      </c>
      <c r="G113" s="37"/>
      <c r="H113" s="37" t="s">
        <v>710</v>
      </c>
      <c r="I113" s="37">
        <v>1</v>
      </c>
      <c r="J113" s="37" t="s">
        <v>711</v>
      </c>
      <c r="K113" s="37" t="s">
        <v>365</v>
      </c>
      <c r="L113" s="37" t="s">
        <v>366</v>
      </c>
      <c r="M113" s="37" t="s">
        <v>211</v>
      </c>
      <c r="N113" s="37" t="s">
        <v>224</v>
      </c>
      <c r="O113" s="37"/>
      <c r="P113" s="21" t="s">
        <v>1806</v>
      </c>
      <c r="Q113" s="37" t="s">
        <v>472</v>
      </c>
    </row>
    <row r="114" spans="1:17" ht="25">
      <c r="A114" s="37" t="s">
        <v>712</v>
      </c>
      <c r="B114" s="37" t="s">
        <v>254</v>
      </c>
      <c r="C114" s="37" t="s">
        <v>635</v>
      </c>
      <c r="D114" s="37" t="s">
        <v>360</v>
      </c>
      <c r="E114" s="38">
        <v>1</v>
      </c>
      <c r="F114" s="37" t="s">
        <v>451</v>
      </c>
      <c r="G114" s="37" t="s">
        <v>554</v>
      </c>
      <c r="H114" s="37" t="s">
        <v>713</v>
      </c>
      <c r="I114" s="37">
        <v>1</v>
      </c>
      <c r="J114" s="37" t="s">
        <v>714</v>
      </c>
      <c r="K114" s="37" t="s">
        <v>365</v>
      </c>
      <c r="L114" s="37" t="s">
        <v>366</v>
      </c>
      <c r="M114" s="37" t="s">
        <v>211</v>
      </c>
      <c r="N114" s="37" t="s">
        <v>224</v>
      </c>
      <c r="O114" s="37"/>
      <c r="P114" s="21" t="s">
        <v>1806</v>
      </c>
      <c r="Q114" s="37" t="s">
        <v>472</v>
      </c>
    </row>
    <row r="115" spans="1:17" ht="25">
      <c r="A115" s="37" t="s">
        <v>715</v>
      </c>
      <c r="B115" s="37" t="s">
        <v>254</v>
      </c>
      <c r="C115" s="37" t="s">
        <v>644</v>
      </c>
      <c r="D115" s="37" t="s">
        <v>360</v>
      </c>
      <c r="E115" s="38" t="s">
        <v>716</v>
      </c>
      <c r="F115" s="37" t="s">
        <v>362</v>
      </c>
      <c r="G115" s="37"/>
      <c r="H115" s="37" t="s">
        <v>717</v>
      </c>
      <c r="I115" s="37">
        <v>2</v>
      </c>
      <c r="J115" s="37" t="s">
        <v>718</v>
      </c>
      <c r="K115" s="37" t="s">
        <v>365</v>
      </c>
      <c r="L115" s="37" t="s">
        <v>366</v>
      </c>
      <c r="M115" s="37" t="s">
        <v>211</v>
      </c>
      <c r="N115" s="37" t="s">
        <v>224</v>
      </c>
      <c r="O115" s="37"/>
      <c r="P115" s="21" t="s">
        <v>1806</v>
      </c>
      <c r="Q115" s="37" t="s">
        <v>472</v>
      </c>
    </row>
    <row r="116" spans="1:17" ht="25">
      <c r="A116" s="37" t="s">
        <v>719</v>
      </c>
      <c r="B116" s="37" t="s">
        <v>254</v>
      </c>
      <c r="C116" s="37" t="s">
        <v>649</v>
      </c>
      <c r="D116" s="37" t="s">
        <v>360</v>
      </c>
      <c r="E116" s="38">
        <v>10</v>
      </c>
      <c r="F116" s="37" t="s">
        <v>451</v>
      </c>
      <c r="G116" s="37" t="s">
        <v>650</v>
      </c>
      <c r="H116" s="37" t="s">
        <v>720</v>
      </c>
      <c r="I116" s="37">
        <v>2</v>
      </c>
      <c r="J116" s="37" t="s">
        <v>721</v>
      </c>
      <c r="K116" s="37" t="s">
        <v>365</v>
      </c>
      <c r="L116" s="37" t="s">
        <v>366</v>
      </c>
      <c r="M116" s="37" t="s">
        <v>211</v>
      </c>
      <c r="N116" s="37" t="s">
        <v>224</v>
      </c>
      <c r="O116" s="37"/>
      <c r="P116" s="21" t="s">
        <v>1806</v>
      </c>
      <c r="Q116" s="37" t="s">
        <v>472</v>
      </c>
    </row>
    <row r="117" spans="1:17" ht="25">
      <c r="A117" s="37" t="s">
        <v>722</v>
      </c>
      <c r="B117" s="37" t="s">
        <v>254</v>
      </c>
      <c r="C117" s="37" t="s">
        <v>723</v>
      </c>
      <c r="D117" s="37" t="s">
        <v>360</v>
      </c>
      <c r="E117" s="38" t="s">
        <v>724</v>
      </c>
      <c r="F117" s="37" t="s">
        <v>362</v>
      </c>
      <c r="G117" s="37"/>
      <c r="H117" s="37" t="s">
        <v>725</v>
      </c>
      <c r="I117" s="37">
        <v>2</v>
      </c>
      <c r="J117" s="37" t="s">
        <v>726</v>
      </c>
      <c r="K117" s="37" t="s">
        <v>365</v>
      </c>
      <c r="L117" s="37" t="s">
        <v>366</v>
      </c>
      <c r="M117" s="37" t="s">
        <v>211</v>
      </c>
      <c r="N117" s="37" t="s">
        <v>224</v>
      </c>
      <c r="O117" s="37"/>
      <c r="P117" s="21" t="s">
        <v>1806</v>
      </c>
      <c r="Q117" s="37" t="s">
        <v>472</v>
      </c>
    </row>
    <row r="118" spans="1:17" ht="25">
      <c r="A118" s="37" t="s">
        <v>727</v>
      </c>
      <c r="B118" s="37" t="s">
        <v>254</v>
      </c>
      <c r="C118" s="37" t="s">
        <v>654</v>
      </c>
      <c r="D118" s="37" t="s">
        <v>360</v>
      </c>
      <c r="E118" s="38" t="s">
        <v>728</v>
      </c>
      <c r="F118" s="37" t="s">
        <v>362</v>
      </c>
      <c r="G118" s="37"/>
      <c r="H118" s="37" t="s">
        <v>729</v>
      </c>
      <c r="I118" s="37">
        <v>2</v>
      </c>
      <c r="J118" s="37" t="s">
        <v>730</v>
      </c>
      <c r="K118" s="37" t="s">
        <v>365</v>
      </c>
      <c r="L118" s="37" t="s">
        <v>366</v>
      </c>
      <c r="M118" s="37" t="s">
        <v>212</v>
      </c>
      <c r="N118" s="37" t="s">
        <v>224</v>
      </c>
      <c r="O118" s="37"/>
      <c r="P118" s="21" t="s">
        <v>1806</v>
      </c>
      <c r="Q118" s="37" t="s">
        <v>472</v>
      </c>
    </row>
    <row r="119" spans="1:17" ht="25">
      <c r="A119" s="37" t="s">
        <v>731</v>
      </c>
      <c r="B119" s="37" t="s">
        <v>254</v>
      </c>
      <c r="C119" s="37" t="s">
        <v>456</v>
      </c>
      <c r="D119" s="37" t="s">
        <v>360</v>
      </c>
      <c r="E119" s="38" t="s">
        <v>732</v>
      </c>
      <c r="F119" s="37" t="s">
        <v>362</v>
      </c>
      <c r="G119" s="37" t="s">
        <v>458</v>
      </c>
      <c r="H119" s="37" t="s">
        <v>732</v>
      </c>
      <c r="I119" s="37">
        <v>1</v>
      </c>
      <c r="J119" s="37" t="s">
        <v>733</v>
      </c>
      <c r="K119" s="37" t="s">
        <v>365</v>
      </c>
      <c r="L119" s="37" t="s">
        <v>366</v>
      </c>
      <c r="M119" s="37" t="s">
        <v>212</v>
      </c>
      <c r="N119" s="37" t="s">
        <v>224</v>
      </c>
      <c r="O119" s="37"/>
      <c r="P119" s="21" t="s">
        <v>1806</v>
      </c>
      <c r="Q119" s="37" t="s">
        <v>472</v>
      </c>
    </row>
    <row r="120" spans="1:17" ht="25">
      <c r="A120" s="37" t="s">
        <v>734</v>
      </c>
      <c r="B120" s="37" t="s">
        <v>254</v>
      </c>
      <c r="C120" s="37" t="s">
        <v>462</v>
      </c>
      <c r="D120" s="37" t="s">
        <v>360</v>
      </c>
      <c r="E120" s="38" t="s">
        <v>735</v>
      </c>
      <c r="F120" s="37" t="s">
        <v>362</v>
      </c>
      <c r="G120" s="37" t="s">
        <v>464</v>
      </c>
      <c r="H120" s="37" t="s">
        <v>736</v>
      </c>
      <c r="I120" s="37">
        <v>2</v>
      </c>
      <c r="J120" s="37" t="s">
        <v>737</v>
      </c>
      <c r="K120" s="37" t="s">
        <v>365</v>
      </c>
      <c r="L120" s="37" t="s">
        <v>366</v>
      </c>
      <c r="M120" s="37" t="s">
        <v>212</v>
      </c>
      <c r="N120" s="37" t="s">
        <v>224</v>
      </c>
      <c r="O120" s="37"/>
      <c r="P120" s="21" t="s">
        <v>1806</v>
      </c>
      <c r="Q120" s="37" t="s">
        <v>472</v>
      </c>
    </row>
    <row r="121" spans="1:17" ht="25">
      <c r="A121" s="37" t="s">
        <v>738</v>
      </c>
      <c r="B121" s="37" t="s">
        <v>259</v>
      </c>
      <c r="C121" s="37" t="s">
        <v>396</v>
      </c>
      <c r="D121" s="37" t="s">
        <v>360</v>
      </c>
      <c r="E121" s="38" t="s">
        <v>739</v>
      </c>
      <c r="F121" s="37" t="s">
        <v>362</v>
      </c>
      <c r="G121" s="37"/>
      <c r="H121" s="37" t="s">
        <v>740</v>
      </c>
      <c r="I121" s="37">
        <v>1</v>
      </c>
      <c r="J121" s="37" t="s">
        <v>741</v>
      </c>
      <c r="K121" s="37" t="s">
        <v>365</v>
      </c>
      <c r="L121" s="37" t="s">
        <v>366</v>
      </c>
      <c r="M121" s="37" t="s">
        <v>211</v>
      </c>
      <c r="N121" s="37" t="s">
        <v>224</v>
      </c>
      <c r="O121" s="37"/>
      <c r="P121" s="21" t="s">
        <v>1806</v>
      </c>
      <c r="Q121" s="37" t="s">
        <v>472</v>
      </c>
    </row>
    <row r="122" spans="1:17" ht="25">
      <c r="A122" s="37" t="s">
        <v>742</v>
      </c>
      <c r="B122" s="37" t="s">
        <v>259</v>
      </c>
      <c r="C122" s="37" t="s">
        <v>550</v>
      </c>
      <c r="D122" s="37" t="s">
        <v>360</v>
      </c>
      <c r="E122" s="38" t="s">
        <v>743</v>
      </c>
      <c r="F122" s="37" t="s">
        <v>362</v>
      </c>
      <c r="G122" s="37"/>
      <c r="H122" s="37" t="s">
        <v>744</v>
      </c>
      <c r="I122" s="37">
        <v>1</v>
      </c>
      <c r="J122" s="37" t="s">
        <v>745</v>
      </c>
      <c r="K122" s="37" t="s">
        <v>365</v>
      </c>
      <c r="L122" s="37" t="s">
        <v>366</v>
      </c>
      <c r="M122" s="37" t="s">
        <v>211</v>
      </c>
      <c r="N122" s="37" t="s">
        <v>224</v>
      </c>
      <c r="O122" s="37"/>
      <c r="P122" s="21" t="s">
        <v>1806</v>
      </c>
      <c r="Q122" s="37" t="s">
        <v>472</v>
      </c>
    </row>
    <row r="123" spans="1:17" ht="25">
      <c r="A123" s="37" t="s">
        <v>746</v>
      </c>
      <c r="B123" s="37" t="s">
        <v>259</v>
      </c>
      <c r="C123" s="37" t="s">
        <v>553</v>
      </c>
      <c r="D123" s="37" t="s">
        <v>360</v>
      </c>
      <c r="E123" s="38">
        <v>10</v>
      </c>
      <c r="F123" s="37" t="s">
        <v>451</v>
      </c>
      <c r="G123" s="37" t="s">
        <v>554</v>
      </c>
      <c r="H123" s="37" t="s">
        <v>747</v>
      </c>
      <c r="I123" s="37">
        <v>2</v>
      </c>
      <c r="J123" s="37" t="s">
        <v>748</v>
      </c>
      <c r="K123" s="37" t="s">
        <v>365</v>
      </c>
      <c r="L123" s="37" t="s">
        <v>366</v>
      </c>
      <c r="M123" s="37" t="s">
        <v>211</v>
      </c>
      <c r="N123" s="37" t="s">
        <v>224</v>
      </c>
      <c r="O123" s="37"/>
      <c r="P123" s="21" t="s">
        <v>1806</v>
      </c>
      <c r="Q123" s="37" t="s">
        <v>472</v>
      </c>
    </row>
    <row r="124" spans="1:17" ht="25">
      <c r="A124" s="37" t="s">
        <v>749</v>
      </c>
      <c r="B124" s="37" t="s">
        <v>259</v>
      </c>
      <c r="C124" s="37" t="s">
        <v>558</v>
      </c>
      <c r="D124" s="37" t="s">
        <v>360</v>
      </c>
      <c r="E124" s="38">
        <v>7.44</v>
      </c>
      <c r="F124" s="37" t="s">
        <v>451</v>
      </c>
      <c r="G124" s="37" t="s">
        <v>559</v>
      </c>
      <c r="H124" s="37" t="s">
        <v>750</v>
      </c>
      <c r="I124" s="37">
        <v>2</v>
      </c>
      <c r="J124" s="37" t="s">
        <v>751</v>
      </c>
      <c r="K124" s="37" t="s">
        <v>365</v>
      </c>
      <c r="L124" s="37" t="s">
        <v>366</v>
      </c>
      <c r="M124" s="37" t="s">
        <v>211</v>
      </c>
      <c r="N124" s="37" t="s">
        <v>224</v>
      </c>
      <c r="O124" s="37"/>
      <c r="P124" s="21" t="s">
        <v>1806</v>
      </c>
      <c r="Q124" s="37" t="s">
        <v>472</v>
      </c>
    </row>
    <row r="125" spans="1:17" ht="25">
      <c r="A125" s="37" t="s">
        <v>752</v>
      </c>
      <c r="B125" s="37" t="s">
        <v>259</v>
      </c>
      <c r="C125" s="37" t="s">
        <v>564</v>
      </c>
      <c r="D125" s="37" t="s">
        <v>360</v>
      </c>
      <c r="E125" s="38" t="s">
        <v>675</v>
      </c>
      <c r="F125" s="37" t="s">
        <v>362</v>
      </c>
      <c r="G125" s="37"/>
      <c r="H125" s="37" t="s">
        <v>753</v>
      </c>
      <c r="I125" s="37">
        <v>2</v>
      </c>
      <c r="J125" s="37" t="s">
        <v>754</v>
      </c>
      <c r="K125" s="37" t="s">
        <v>365</v>
      </c>
      <c r="L125" s="37" t="s">
        <v>366</v>
      </c>
      <c r="M125" s="37" t="s">
        <v>211</v>
      </c>
      <c r="N125" s="37" t="s">
        <v>224</v>
      </c>
      <c r="O125" s="37"/>
      <c r="P125" s="21" t="s">
        <v>1806</v>
      </c>
      <c r="Q125" s="37" t="s">
        <v>472</v>
      </c>
    </row>
    <row r="126" spans="1:17" ht="25">
      <c r="A126" s="37" t="s">
        <v>755</v>
      </c>
      <c r="B126" s="37" t="s">
        <v>259</v>
      </c>
      <c r="C126" s="37" t="s">
        <v>567</v>
      </c>
      <c r="D126" s="37" t="s">
        <v>360</v>
      </c>
      <c r="E126" s="38">
        <v>4</v>
      </c>
      <c r="F126" s="37" t="s">
        <v>370</v>
      </c>
      <c r="G126" s="37"/>
      <c r="H126" s="37" t="s">
        <v>756</v>
      </c>
      <c r="I126" s="37">
        <v>2</v>
      </c>
      <c r="J126" s="37" t="s">
        <v>757</v>
      </c>
      <c r="K126" s="37" t="s">
        <v>365</v>
      </c>
      <c r="L126" s="37" t="s">
        <v>366</v>
      </c>
      <c r="M126" s="37" t="s">
        <v>211</v>
      </c>
      <c r="N126" s="37" t="s">
        <v>224</v>
      </c>
      <c r="O126" s="37"/>
      <c r="P126" s="21" t="s">
        <v>1806</v>
      </c>
      <c r="Q126" s="37" t="s">
        <v>472</v>
      </c>
    </row>
    <row r="127" spans="1:17" ht="25">
      <c r="A127" s="37" t="s">
        <v>758</v>
      </c>
      <c r="B127" s="37" t="s">
        <v>259</v>
      </c>
      <c r="C127" s="37" t="s">
        <v>569</v>
      </c>
      <c r="D127" s="37" t="s">
        <v>360</v>
      </c>
      <c r="E127" s="38">
        <v>45</v>
      </c>
      <c r="F127" s="37" t="s">
        <v>451</v>
      </c>
      <c r="G127" s="37" t="s">
        <v>452</v>
      </c>
      <c r="H127" s="37" t="s">
        <v>759</v>
      </c>
      <c r="I127" s="37">
        <v>2</v>
      </c>
      <c r="J127" s="37" t="s">
        <v>760</v>
      </c>
      <c r="K127" s="37" t="s">
        <v>365</v>
      </c>
      <c r="L127" s="37" t="s">
        <v>366</v>
      </c>
      <c r="M127" s="37" t="s">
        <v>211</v>
      </c>
      <c r="N127" s="37" t="s">
        <v>224</v>
      </c>
      <c r="O127" s="37"/>
      <c r="P127" s="21" t="s">
        <v>1806</v>
      </c>
      <c r="Q127" s="37" t="s">
        <v>472</v>
      </c>
    </row>
    <row r="128" spans="1:17" ht="25">
      <c r="A128" s="37" t="s">
        <v>761</v>
      </c>
      <c r="B128" s="37" t="s">
        <v>259</v>
      </c>
      <c r="C128" s="37" t="s">
        <v>762</v>
      </c>
      <c r="D128" s="37" t="s">
        <v>360</v>
      </c>
      <c r="E128" s="38" t="s">
        <v>763</v>
      </c>
      <c r="F128" s="37" t="s">
        <v>362</v>
      </c>
      <c r="G128" s="37"/>
      <c r="H128" s="37" t="s">
        <v>764</v>
      </c>
      <c r="I128" s="37">
        <v>2</v>
      </c>
      <c r="J128" s="37" t="s">
        <v>765</v>
      </c>
      <c r="K128" s="37" t="s">
        <v>365</v>
      </c>
      <c r="L128" s="37" t="s">
        <v>366</v>
      </c>
      <c r="M128" s="37" t="s">
        <v>212</v>
      </c>
      <c r="N128" s="37" t="s">
        <v>224</v>
      </c>
      <c r="O128" s="37"/>
      <c r="P128" s="21" t="s">
        <v>1806</v>
      </c>
      <c r="Q128" s="37" t="s">
        <v>472</v>
      </c>
    </row>
    <row r="129" spans="1:17" ht="25">
      <c r="A129" s="37" t="s">
        <v>766</v>
      </c>
      <c r="B129" s="37" t="s">
        <v>259</v>
      </c>
      <c r="C129" s="37" t="s">
        <v>767</v>
      </c>
      <c r="D129" s="37" t="s">
        <v>480</v>
      </c>
      <c r="E129" s="38"/>
      <c r="F129" s="37" t="s">
        <v>370</v>
      </c>
      <c r="G129" s="37"/>
      <c r="H129" s="37"/>
      <c r="I129" s="37"/>
      <c r="J129" s="37"/>
      <c r="K129" s="37" t="s">
        <v>365</v>
      </c>
      <c r="L129" s="37"/>
      <c r="M129" s="37" t="s">
        <v>212</v>
      </c>
      <c r="N129" s="37" t="s">
        <v>224</v>
      </c>
      <c r="O129" s="37"/>
      <c r="P129" s="21" t="s">
        <v>1806</v>
      </c>
      <c r="Q129" s="37" t="s">
        <v>482</v>
      </c>
    </row>
    <row r="130" spans="1:17" ht="50">
      <c r="A130" s="37" t="s">
        <v>768</v>
      </c>
      <c r="B130" s="37" t="s">
        <v>259</v>
      </c>
      <c r="C130" s="37" t="s">
        <v>769</v>
      </c>
      <c r="D130" s="37" t="s">
        <v>480</v>
      </c>
      <c r="E130" s="38"/>
      <c r="F130" s="37" t="s">
        <v>362</v>
      </c>
      <c r="G130" s="37"/>
      <c r="H130" s="37"/>
      <c r="I130" s="37">
        <v>1</v>
      </c>
      <c r="J130" s="37" t="s">
        <v>770</v>
      </c>
      <c r="K130" s="37" t="s">
        <v>365</v>
      </c>
      <c r="L130" s="37" t="s">
        <v>366</v>
      </c>
      <c r="M130" s="37" t="s">
        <v>212</v>
      </c>
      <c r="N130" s="37" t="s">
        <v>224</v>
      </c>
      <c r="O130" s="37"/>
      <c r="P130" s="21" t="s">
        <v>1806</v>
      </c>
      <c r="Q130" s="37" t="s">
        <v>472</v>
      </c>
    </row>
    <row r="131" spans="1:17" ht="25">
      <c r="A131" s="37" t="s">
        <v>771</v>
      </c>
      <c r="B131" s="37" t="s">
        <v>259</v>
      </c>
      <c r="C131" s="37" t="s">
        <v>772</v>
      </c>
      <c r="D131" s="37" t="s">
        <v>360</v>
      </c>
      <c r="E131" s="38" t="s">
        <v>773</v>
      </c>
      <c r="F131" s="37" t="s">
        <v>362</v>
      </c>
      <c r="G131" s="37"/>
      <c r="H131" s="37" t="s">
        <v>774</v>
      </c>
      <c r="I131" s="37">
        <v>1</v>
      </c>
      <c r="J131" s="37" t="s">
        <v>775</v>
      </c>
      <c r="K131" s="37" t="s">
        <v>365</v>
      </c>
      <c r="L131" s="37" t="s">
        <v>366</v>
      </c>
      <c r="M131" s="37" t="s">
        <v>212</v>
      </c>
      <c r="N131" s="37" t="s">
        <v>224</v>
      </c>
      <c r="O131" s="37"/>
      <c r="P131" s="21" t="s">
        <v>1806</v>
      </c>
      <c r="Q131" s="37" t="s">
        <v>472</v>
      </c>
    </row>
    <row r="132" spans="1:17" ht="25">
      <c r="A132" s="37" t="s">
        <v>776</v>
      </c>
      <c r="B132" s="37" t="s">
        <v>259</v>
      </c>
      <c r="C132" s="37" t="s">
        <v>777</v>
      </c>
      <c r="D132" s="37" t="s">
        <v>480</v>
      </c>
      <c r="E132" s="38"/>
      <c r="F132" s="37" t="s">
        <v>362</v>
      </c>
      <c r="G132" s="37"/>
      <c r="H132" s="37"/>
      <c r="I132" s="37"/>
      <c r="J132" s="37"/>
      <c r="K132" s="37" t="s">
        <v>365</v>
      </c>
      <c r="L132" s="37"/>
      <c r="M132" s="37" t="s">
        <v>212</v>
      </c>
      <c r="N132" s="37" t="s">
        <v>224</v>
      </c>
      <c r="O132" s="37"/>
      <c r="P132" s="21" t="s">
        <v>1806</v>
      </c>
      <c r="Q132" s="37" t="s">
        <v>482</v>
      </c>
    </row>
    <row r="133" spans="1:17" ht="25">
      <c r="A133" s="37" t="s">
        <v>778</v>
      </c>
      <c r="B133" s="37" t="s">
        <v>259</v>
      </c>
      <c r="C133" s="37" t="s">
        <v>779</v>
      </c>
      <c r="D133" s="37" t="s">
        <v>360</v>
      </c>
      <c r="E133" s="38" t="s">
        <v>780</v>
      </c>
      <c r="F133" s="37" t="s">
        <v>362</v>
      </c>
      <c r="G133" s="37"/>
      <c r="H133" s="37" t="s">
        <v>781</v>
      </c>
      <c r="I133" s="37">
        <v>1</v>
      </c>
      <c r="J133" s="37" t="s">
        <v>782</v>
      </c>
      <c r="K133" s="37" t="s">
        <v>365</v>
      </c>
      <c r="L133" s="37" t="s">
        <v>366</v>
      </c>
      <c r="M133" s="37" t="s">
        <v>212</v>
      </c>
      <c r="N133" s="37" t="s">
        <v>224</v>
      </c>
      <c r="O133" s="37"/>
      <c r="P133" s="21" t="s">
        <v>1806</v>
      </c>
      <c r="Q133" s="37" t="s">
        <v>472</v>
      </c>
    </row>
    <row r="134" spans="1:17" ht="25">
      <c r="A134" s="37" t="s">
        <v>783</v>
      </c>
      <c r="B134" s="37" t="s">
        <v>259</v>
      </c>
      <c r="C134" s="37" t="s">
        <v>583</v>
      </c>
      <c r="D134" s="37" t="s">
        <v>480</v>
      </c>
      <c r="E134" s="38"/>
      <c r="F134" s="37" t="s">
        <v>441</v>
      </c>
      <c r="G134" s="37"/>
      <c r="H134" s="37"/>
      <c r="I134" s="37"/>
      <c r="J134" s="37"/>
      <c r="K134" s="37" t="s">
        <v>365</v>
      </c>
      <c r="L134" s="37"/>
      <c r="M134" s="37" t="s">
        <v>212</v>
      </c>
      <c r="N134" s="37" t="s">
        <v>224</v>
      </c>
      <c r="O134" s="37"/>
      <c r="P134" s="21" t="s">
        <v>1806</v>
      </c>
      <c r="Q134" s="37" t="s">
        <v>482</v>
      </c>
    </row>
    <row r="135" spans="1:17" ht="37.5">
      <c r="A135" s="37" t="s">
        <v>784</v>
      </c>
      <c r="B135" s="37" t="s">
        <v>259</v>
      </c>
      <c r="C135" s="37" t="s">
        <v>450</v>
      </c>
      <c r="D135" s="37" t="s">
        <v>480</v>
      </c>
      <c r="E135" s="38"/>
      <c r="F135" s="37" t="s">
        <v>451</v>
      </c>
      <c r="G135" s="37" t="s">
        <v>452</v>
      </c>
      <c r="H135" s="37"/>
      <c r="I135" s="37">
        <v>3</v>
      </c>
      <c r="J135" s="37" t="s">
        <v>785</v>
      </c>
      <c r="K135" s="37" t="s">
        <v>365</v>
      </c>
      <c r="L135" s="37" t="s">
        <v>366</v>
      </c>
      <c r="M135" s="37" t="s">
        <v>212</v>
      </c>
      <c r="N135" s="37" t="s">
        <v>224</v>
      </c>
      <c r="O135" s="37"/>
      <c r="P135" s="21" t="s">
        <v>1806</v>
      </c>
      <c r="Q135" s="37" t="s">
        <v>472</v>
      </c>
    </row>
    <row r="136" spans="1:17" ht="62.5">
      <c r="A136" s="37" t="s">
        <v>786</v>
      </c>
      <c r="B136" s="37" t="s">
        <v>259</v>
      </c>
      <c r="C136" s="37" t="s">
        <v>456</v>
      </c>
      <c r="D136" s="37" t="s">
        <v>480</v>
      </c>
      <c r="E136" s="38"/>
      <c r="F136" s="37" t="s">
        <v>362</v>
      </c>
      <c r="G136" s="37" t="s">
        <v>458</v>
      </c>
      <c r="H136" s="37"/>
      <c r="I136" s="37">
        <v>3</v>
      </c>
      <c r="J136" s="37" t="s">
        <v>787</v>
      </c>
      <c r="K136" s="37" t="s">
        <v>365</v>
      </c>
      <c r="L136" s="37" t="s">
        <v>366</v>
      </c>
      <c r="M136" s="37" t="s">
        <v>212</v>
      </c>
      <c r="N136" s="37" t="s">
        <v>224</v>
      </c>
      <c r="O136" s="37"/>
      <c r="P136" s="21" t="s">
        <v>1806</v>
      </c>
      <c r="Q136" s="37" t="s">
        <v>472</v>
      </c>
    </row>
    <row r="137" spans="1:17" ht="62.5">
      <c r="A137" s="37" t="s">
        <v>788</v>
      </c>
      <c r="B137" s="37" t="s">
        <v>259</v>
      </c>
      <c r="C137" s="37" t="s">
        <v>462</v>
      </c>
      <c r="D137" s="37" t="s">
        <v>480</v>
      </c>
      <c r="E137" s="38"/>
      <c r="F137" s="37" t="s">
        <v>362</v>
      </c>
      <c r="G137" s="37" t="s">
        <v>464</v>
      </c>
      <c r="H137" s="37"/>
      <c r="I137" s="37">
        <v>3</v>
      </c>
      <c r="J137" s="37" t="s">
        <v>789</v>
      </c>
      <c r="K137" s="37" t="s">
        <v>365</v>
      </c>
      <c r="L137" s="37" t="s">
        <v>366</v>
      </c>
      <c r="M137" s="37" t="s">
        <v>212</v>
      </c>
      <c r="N137" s="37" t="s">
        <v>224</v>
      </c>
      <c r="O137" s="37"/>
      <c r="P137" s="21" t="s">
        <v>1806</v>
      </c>
      <c r="Q137" s="37" t="s">
        <v>472</v>
      </c>
    </row>
    <row r="138" spans="1:17" ht="25">
      <c r="A138" s="37" t="s">
        <v>790</v>
      </c>
      <c r="B138" s="37" t="s">
        <v>264</v>
      </c>
      <c r="C138" s="37" t="s">
        <v>359</v>
      </c>
      <c r="D138" s="37" t="s">
        <v>360</v>
      </c>
      <c r="E138" s="38" t="s">
        <v>383</v>
      </c>
      <c r="F138" s="37" t="s">
        <v>362</v>
      </c>
      <c r="G138" s="37"/>
      <c r="H138" s="37" t="s">
        <v>791</v>
      </c>
      <c r="I138" s="37">
        <v>1</v>
      </c>
      <c r="J138" s="37" t="s">
        <v>792</v>
      </c>
      <c r="K138" s="37" t="s">
        <v>365</v>
      </c>
      <c r="L138" s="37" t="s">
        <v>366</v>
      </c>
      <c r="M138" s="37" t="s">
        <v>211</v>
      </c>
      <c r="N138" s="37" t="s">
        <v>224</v>
      </c>
      <c r="O138" s="37"/>
      <c r="P138" s="21" t="s">
        <v>1806</v>
      </c>
      <c r="Q138" s="37" t="s">
        <v>472</v>
      </c>
    </row>
    <row r="139" spans="1:17" ht="25">
      <c r="A139" s="37" t="s">
        <v>793</v>
      </c>
      <c r="B139" s="37" t="s">
        <v>264</v>
      </c>
      <c r="C139" s="37" t="s">
        <v>380</v>
      </c>
      <c r="D139" s="37" t="s">
        <v>360</v>
      </c>
      <c r="E139" s="38">
        <v>867</v>
      </c>
      <c r="F139" s="37" t="s">
        <v>370</v>
      </c>
      <c r="G139" s="37"/>
      <c r="H139" s="37" t="s">
        <v>794</v>
      </c>
      <c r="I139" s="37">
        <v>2</v>
      </c>
      <c r="J139" s="37" t="s">
        <v>795</v>
      </c>
      <c r="K139" s="37" t="s">
        <v>383</v>
      </c>
      <c r="L139" s="37" t="s">
        <v>366</v>
      </c>
      <c r="M139" s="37" t="s">
        <v>211</v>
      </c>
      <c r="N139" s="37" t="s">
        <v>224</v>
      </c>
      <c r="O139" s="37"/>
      <c r="P139" s="21" t="s">
        <v>1806</v>
      </c>
      <c r="Q139" s="37" t="s">
        <v>472</v>
      </c>
    </row>
    <row r="140" spans="1:17" ht="25">
      <c r="A140" s="37" t="s">
        <v>796</v>
      </c>
      <c r="B140" s="37" t="s">
        <v>264</v>
      </c>
      <c r="C140" s="37" t="s">
        <v>390</v>
      </c>
      <c r="D140" s="37" t="s">
        <v>360</v>
      </c>
      <c r="E140" s="38">
        <v>80</v>
      </c>
      <c r="F140" s="37" t="s">
        <v>370</v>
      </c>
      <c r="G140" s="37"/>
      <c r="H140" s="37" t="s">
        <v>797</v>
      </c>
      <c r="I140" s="37">
        <v>3</v>
      </c>
      <c r="J140" s="37" t="s">
        <v>798</v>
      </c>
      <c r="K140" s="37" t="s">
        <v>383</v>
      </c>
      <c r="L140" s="37" t="s">
        <v>366</v>
      </c>
      <c r="M140" s="37" t="s">
        <v>211</v>
      </c>
      <c r="N140" s="37" t="s">
        <v>224</v>
      </c>
      <c r="O140" s="37"/>
      <c r="P140" s="21" t="s">
        <v>1806</v>
      </c>
      <c r="Q140" s="37" t="s">
        <v>472</v>
      </c>
    </row>
    <row r="141" spans="1:17" ht="25">
      <c r="A141" s="37" t="s">
        <v>799</v>
      </c>
      <c r="B141" s="37" t="s">
        <v>264</v>
      </c>
      <c r="C141" s="37" t="s">
        <v>396</v>
      </c>
      <c r="D141" s="37" t="s">
        <v>360</v>
      </c>
      <c r="E141" s="38" t="s">
        <v>800</v>
      </c>
      <c r="F141" s="37" t="s">
        <v>362</v>
      </c>
      <c r="G141" s="37"/>
      <c r="H141" s="37" t="s">
        <v>801</v>
      </c>
      <c r="I141" s="37">
        <v>3</v>
      </c>
      <c r="J141" s="37" t="s">
        <v>802</v>
      </c>
      <c r="K141" s="37" t="s">
        <v>365</v>
      </c>
      <c r="L141" s="37" t="s">
        <v>366</v>
      </c>
      <c r="M141" s="37" t="s">
        <v>211</v>
      </c>
      <c r="N141" s="37" t="s">
        <v>224</v>
      </c>
      <c r="O141" s="37"/>
      <c r="P141" s="21" t="s">
        <v>1806</v>
      </c>
      <c r="Q141" s="37" t="s">
        <v>472</v>
      </c>
    </row>
    <row r="142" spans="1:17" ht="25">
      <c r="A142" s="37" t="s">
        <v>803</v>
      </c>
      <c r="B142" s="37" t="s">
        <v>264</v>
      </c>
      <c r="C142" s="37" t="s">
        <v>401</v>
      </c>
      <c r="D142" s="37" t="s">
        <v>360</v>
      </c>
      <c r="E142" s="38" t="s">
        <v>804</v>
      </c>
      <c r="F142" s="37" t="s">
        <v>362</v>
      </c>
      <c r="G142" s="37"/>
      <c r="H142" s="37" t="s">
        <v>804</v>
      </c>
      <c r="I142" s="37">
        <v>3</v>
      </c>
      <c r="J142" s="37" t="s">
        <v>805</v>
      </c>
      <c r="K142" s="37" t="s">
        <v>365</v>
      </c>
      <c r="L142" s="37" t="s">
        <v>366</v>
      </c>
      <c r="M142" s="37" t="s">
        <v>211</v>
      </c>
      <c r="N142" s="37" t="s">
        <v>224</v>
      </c>
      <c r="O142" s="37"/>
      <c r="P142" s="21" t="s">
        <v>1806</v>
      </c>
      <c r="Q142" s="37" t="s">
        <v>472</v>
      </c>
    </row>
    <row r="143" spans="1:17" ht="25">
      <c r="A143" s="37" t="s">
        <v>806</v>
      </c>
      <c r="B143" s="37" t="s">
        <v>264</v>
      </c>
      <c r="C143" s="37" t="s">
        <v>807</v>
      </c>
      <c r="D143" s="37" t="s">
        <v>360</v>
      </c>
      <c r="E143" s="38" t="s">
        <v>808</v>
      </c>
      <c r="F143" s="37" t="s">
        <v>362</v>
      </c>
      <c r="G143" s="37"/>
      <c r="H143" s="37" t="s">
        <v>809</v>
      </c>
      <c r="I143" s="37">
        <v>1</v>
      </c>
      <c r="J143" s="37" t="s">
        <v>810</v>
      </c>
      <c r="K143" s="37" t="s">
        <v>365</v>
      </c>
      <c r="L143" s="37" t="s">
        <v>366</v>
      </c>
      <c r="M143" s="37" t="s">
        <v>211</v>
      </c>
      <c r="N143" s="37" t="s">
        <v>224</v>
      </c>
      <c r="O143" s="37"/>
      <c r="P143" s="21" t="s">
        <v>1806</v>
      </c>
      <c r="Q143" s="37" t="s">
        <v>472</v>
      </c>
    </row>
    <row r="144" spans="1:17" ht="25">
      <c r="A144" s="37" t="s">
        <v>811</v>
      </c>
      <c r="B144" s="37" t="s">
        <v>264</v>
      </c>
      <c r="C144" s="37" t="s">
        <v>428</v>
      </c>
      <c r="D144" s="37" t="s">
        <v>360</v>
      </c>
      <c r="E144" s="38" t="s">
        <v>812</v>
      </c>
      <c r="F144" s="37" t="s">
        <v>362</v>
      </c>
      <c r="G144" s="37"/>
      <c r="H144" s="37" t="s">
        <v>812</v>
      </c>
      <c r="I144" s="37">
        <v>2</v>
      </c>
      <c r="J144" s="37" t="s">
        <v>813</v>
      </c>
      <c r="K144" s="37" t="s">
        <v>383</v>
      </c>
      <c r="L144" s="37" t="s">
        <v>366</v>
      </c>
      <c r="M144" s="37" t="s">
        <v>211</v>
      </c>
      <c r="N144" s="37" t="s">
        <v>224</v>
      </c>
      <c r="O144" s="37"/>
      <c r="P144" s="21" t="s">
        <v>1806</v>
      </c>
      <c r="Q144" s="37" t="s">
        <v>472</v>
      </c>
    </row>
    <row r="145" spans="1:17" ht="25">
      <c r="A145" s="37" t="s">
        <v>814</v>
      </c>
      <c r="B145" s="37" t="s">
        <v>264</v>
      </c>
      <c r="C145" s="37" t="s">
        <v>815</v>
      </c>
      <c r="D145" s="37" t="s">
        <v>360</v>
      </c>
      <c r="E145" s="38" t="s">
        <v>816</v>
      </c>
      <c r="F145" s="37" t="s">
        <v>362</v>
      </c>
      <c r="G145" s="37"/>
      <c r="H145" s="37" t="s">
        <v>816</v>
      </c>
      <c r="I145" s="37">
        <v>2</v>
      </c>
      <c r="J145" s="37" t="s">
        <v>817</v>
      </c>
      <c r="K145" s="37" t="s">
        <v>365</v>
      </c>
      <c r="L145" s="37" t="s">
        <v>366</v>
      </c>
      <c r="M145" s="37" t="s">
        <v>211</v>
      </c>
      <c r="N145" s="37" t="s">
        <v>224</v>
      </c>
      <c r="O145" s="37"/>
      <c r="P145" s="21" t="s">
        <v>1806</v>
      </c>
      <c r="Q145" s="37" t="s">
        <v>472</v>
      </c>
    </row>
    <row r="146" spans="1:17" ht="25">
      <c r="A146" s="37" t="s">
        <v>818</v>
      </c>
      <c r="B146" s="37" t="s">
        <v>264</v>
      </c>
      <c r="C146" s="37" t="s">
        <v>450</v>
      </c>
      <c r="D146" s="37" t="s">
        <v>360</v>
      </c>
      <c r="E146" s="38">
        <v>4.5</v>
      </c>
      <c r="F146" s="37" t="s">
        <v>451</v>
      </c>
      <c r="G146" s="37"/>
      <c r="H146" s="37" t="s">
        <v>819</v>
      </c>
      <c r="I146" s="37">
        <v>2</v>
      </c>
      <c r="J146" s="37" t="s">
        <v>820</v>
      </c>
      <c r="K146" s="37" t="s">
        <v>365</v>
      </c>
      <c r="L146" s="37" t="s">
        <v>366</v>
      </c>
      <c r="M146" s="37" t="s">
        <v>211</v>
      </c>
      <c r="N146" s="37" t="s">
        <v>224</v>
      </c>
      <c r="O146" s="37"/>
      <c r="P146" s="21" t="s">
        <v>1806</v>
      </c>
      <c r="Q146" s="37" t="s">
        <v>472</v>
      </c>
    </row>
    <row r="147" spans="1:17" ht="25">
      <c r="A147" s="37" t="s">
        <v>821</v>
      </c>
      <c r="B147" s="37" t="s">
        <v>264</v>
      </c>
      <c r="C147" s="37" t="s">
        <v>456</v>
      </c>
      <c r="D147" s="37" t="s">
        <v>360</v>
      </c>
      <c r="E147" s="38" t="s">
        <v>822</v>
      </c>
      <c r="F147" s="37" t="s">
        <v>362</v>
      </c>
      <c r="G147" s="37"/>
      <c r="H147" s="37" t="s">
        <v>823</v>
      </c>
      <c r="I147" s="37">
        <v>2</v>
      </c>
      <c r="J147" s="37" t="s">
        <v>824</v>
      </c>
      <c r="K147" s="37" t="s">
        <v>365</v>
      </c>
      <c r="L147" s="37" t="s">
        <v>366</v>
      </c>
      <c r="M147" s="37" t="s">
        <v>211</v>
      </c>
      <c r="N147" s="37" t="s">
        <v>224</v>
      </c>
      <c r="O147" s="37"/>
      <c r="P147" s="21" t="s">
        <v>1806</v>
      </c>
      <c r="Q147" s="37" t="s">
        <v>472</v>
      </c>
    </row>
    <row r="148" spans="1:17" ht="25">
      <c r="A148" s="37" t="s">
        <v>825</v>
      </c>
      <c r="B148" s="37" t="s">
        <v>264</v>
      </c>
      <c r="C148" s="37" t="s">
        <v>462</v>
      </c>
      <c r="D148" s="37" t="s">
        <v>360</v>
      </c>
      <c r="E148" s="38" t="s">
        <v>826</v>
      </c>
      <c r="F148" s="37" t="s">
        <v>362</v>
      </c>
      <c r="G148" s="37"/>
      <c r="H148" s="37" t="s">
        <v>826</v>
      </c>
      <c r="I148" s="37">
        <v>2</v>
      </c>
      <c r="J148" s="37" t="s">
        <v>827</v>
      </c>
      <c r="K148" s="37" t="s">
        <v>365</v>
      </c>
      <c r="L148" s="37" t="s">
        <v>366</v>
      </c>
      <c r="M148" s="37" t="s">
        <v>211</v>
      </c>
      <c r="N148" s="37" t="s">
        <v>224</v>
      </c>
      <c r="O148" s="37"/>
      <c r="P148" s="21" t="s">
        <v>1806</v>
      </c>
      <c r="Q148" s="37" t="s">
        <v>472</v>
      </c>
    </row>
    <row r="149" spans="1:17" ht="25">
      <c r="A149" s="37" t="s">
        <v>828</v>
      </c>
      <c r="B149" s="37" t="s">
        <v>269</v>
      </c>
      <c r="C149" s="37" t="s">
        <v>396</v>
      </c>
      <c r="D149" s="37" t="s">
        <v>360</v>
      </c>
      <c r="E149" s="38" t="s">
        <v>829</v>
      </c>
      <c r="F149" s="37" t="s">
        <v>362</v>
      </c>
      <c r="G149" s="37"/>
      <c r="H149" s="37" t="s">
        <v>830</v>
      </c>
      <c r="I149" s="37">
        <v>1</v>
      </c>
      <c r="J149" s="37" t="s">
        <v>831</v>
      </c>
      <c r="K149" s="37" t="s">
        <v>365</v>
      </c>
      <c r="L149" s="37" t="s">
        <v>366</v>
      </c>
      <c r="M149" s="37" t="s">
        <v>211</v>
      </c>
      <c r="N149" s="37" t="s">
        <v>224</v>
      </c>
      <c r="O149" s="37"/>
      <c r="P149" s="21" t="s">
        <v>1806</v>
      </c>
      <c r="Q149" s="37" t="s">
        <v>472</v>
      </c>
    </row>
    <row r="150" spans="1:17" ht="25">
      <c r="A150" s="37" t="s">
        <v>832</v>
      </c>
      <c r="B150" s="37" t="s">
        <v>269</v>
      </c>
      <c r="C150" s="37" t="s">
        <v>550</v>
      </c>
      <c r="D150" s="37" t="s">
        <v>360</v>
      </c>
      <c r="E150" s="38" t="s">
        <v>833</v>
      </c>
      <c r="F150" s="37" t="s">
        <v>362</v>
      </c>
      <c r="G150" s="37"/>
      <c r="H150" s="37" t="s">
        <v>834</v>
      </c>
      <c r="I150" s="37">
        <v>1</v>
      </c>
      <c r="J150" s="37" t="s">
        <v>835</v>
      </c>
      <c r="K150" s="37" t="s">
        <v>365</v>
      </c>
      <c r="L150" s="37" t="s">
        <v>366</v>
      </c>
      <c r="M150" s="37" t="s">
        <v>211</v>
      </c>
      <c r="N150" s="37" t="s">
        <v>224</v>
      </c>
      <c r="O150" s="37"/>
      <c r="P150" s="21" t="s">
        <v>1806</v>
      </c>
      <c r="Q150" s="37" t="s">
        <v>472</v>
      </c>
    </row>
    <row r="151" spans="1:17" ht="25">
      <c r="A151" s="37" t="s">
        <v>836</v>
      </c>
      <c r="B151" s="37" t="s">
        <v>269</v>
      </c>
      <c r="C151" s="37" t="s">
        <v>553</v>
      </c>
      <c r="D151" s="37" t="s">
        <v>360</v>
      </c>
      <c r="E151" s="38">
        <v>20</v>
      </c>
      <c r="F151" s="37" t="s">
        <v>451</v>
      </c>
      <c r="G151" s="37" t="s">
        <v>554</v>
      </c>
      <c r="H151" s="37" t="s">
        <v>837</v>
      </c>
      <c r="I151" s="37">
        <v>3</v>
      </c>
      <c r="J151" s="37" t="s">
        <v>838</v>
      </c>
      <c r="K151" s="37" t="s">
        <v>365</v>
      </c>
      <c r="L151" s="37" t="s">
        <v>366</v>
      </c>
      <c r="M151" s="37" t="s">
        <v>211</v>
      </c>
      <c r="N151" s="37" t="s">
        <v>224</v>
      </c>
      <c r="O151" s="37"/>
      <c r="P151" s="21" t="s">
        <v>1806</v>
      </c>
      <c r="Q151" s="37" t="s">
        <v>472</v>
      </c>
    </row>
    <row r="152" spans="1:17" ht="25">
      <c r="A152" s="37" t="s">
        <v>839</v>
      </c>
      <c r="B152" s="37" t="s">
        <v>269</v>
      </c>
      <c r="C152" s="37" t="s">
        <v>558</v>
      </c>
      <c r="D152" s="37" t="s">
        <v>360</v>
      </c>
      <c r="E152" s="38">
        <v>14.9</v>
      </c>
      <c r="F152" s="37" t="s">
        <v>451</v>
      </c>
      <c r="G152" s="37" t="s">
        <v>559</v>
      </c>
      <c r="H152" s="37" t="s">
        <v>840</v>
      </c>
      <c r="I152" s="37">
        <v>3</v>
      </c>
      <c r="J152" s="37" t="s">
        <v>841</v>
      </c>
      <c r="K152" s="37" t="s">
        <v>365</v>
      </c>
      <c r="L152" s="37" t="s">
        <v>366</v>
      </c>
      <c r="M152" s="37" t="s">
        <v>211</v>
      </c>
      <c r="N152" s="37" t="s">
        <v>224</v>
      </c>
      <c r="O152" s="37"/>
      <c r="P152" s="21" t="s">
        <v>1806</v>
      </c>
      <c r="Q152" s="37" t="s">
        <v>472</v>
      </c>
    </row>
    <row r="153" spans="1:17" ht="25">
      <c r="A153" s="37" t="s">
        <v>842</v>
      </c>
      <c r="B153" s="37" t="s">
        <v>269</v>
      </c>
      <c r="C153" s="37" t="s">
        <v>564</v>
      </c>
      <c r="D153" s="37" t="s">
        <v>386</v>
      </c>
      <c r="E153" s="38"/>
      <c r="F153" s="37" t="s">
        <v>362</v>
      </c>
      <c r="G153" s="37"/>
      <c r="H153" s="37" t="s">
        <v>843</v>
      </c>
      <c r="I153" s="37"/>
      <c r="J153" s="37"/>
      <c r="K153" s="37" t="s">
        <v>365</v>
      </c>
      <c r="L153" s="37"/>
      <c r="M153" s="37" t="s">
        <v>211</v>
      </c>
      <c r="N153" s="37" t="s">
        <v>224</v>
      </c>
      <c r="O153" s="37"/>
      <c r="P153" s="21" t="s">
        <v>1806</v>
      </c>
      <c r="Q153" s="37" t="s">
        <v>482</v>
      </c>
    </row>
    <row r="154" spans="1:17" ht="25">
      <c r="A154" s="37" t="s">
        <v>844</v>
      </c>
      <c r="B154" s="37" t="s">
        <v>269</v>
      </c>
      <c r="C154" s="37" t="s">
        <v>567</v>
      </c>
      <c r="D154" s="37" t="s">
        <v>386</v>
      </c>
      <c r="E154" s="38"/>
      <c r="F154" s="37" t="s">
        <v>370</v>
      </c>
      <c r="G154" s="37"/>
      <c r="H154" s="37" t="s">
        <v>843</v>
      </c>
      <c r="I154" s="37"/>
      <c r="J154" s="37"/>
      <c r="K154" s="37" t="s">
        <v>365</v>
      </c>
      <c r="L154" s="37"/>
      <c r="M154" s="37" t="s">
        <v>211</v>
      </c>
      <c r="N154" s="37" t="s">
        <v>224</v>
      </c>
      <c r="O154" s="37"/>
      <c r="P154" s="21" t="s">
        <v>1806</v>
      </c>
      <c r="Q154" s="37" t="s">
        <v>482</v>
      </c>
    </row>
    <row r="155" spans="1:17" ht="25">
      <c r="A155" s="37" t="s">
        <v>845</v>
      </c>
      <c r="B155" s="37" t="s">
        <v>269</v>
      </c>
      <c r="C155" s="37" t="s">
        <v>569</v>
      </c>
      <c r="D155" s="37" t="s">
        <v>386</v>
      </c>
      <c r="E155" s="38"/>
      <c r="F155" s="37" t="s">
        <v>451</v>
      </c>
      <c r="G155" s="37" t="s">
        <v>452</v>
      </c>
      <c r="H155" s="37" t="s">
        <v>843</v>
      </c>
      <c r="I155" s="37"/>
      <c r="J155" s="37"/>
      <c r="K155" s="37" t="s">
        <v>365</v>
      </c>
      <c r="L155" s="37"/>
      <c r="M155" s="37" t="s">
        <v>211</v>
      </c>
      <c r="N155" s="37" t="s">
        <v>224</v>
      </c>
      <c r="O155" s="37"/>
      <c r="P155" s="21" t="s">
        <v>1806</v>
      </c>
      <c r="Q155" s="37" t="s">
        <v>482</v>
      </c>
    </row>
    <row r="156" spans="1:17" ht="25">
      <c r="A156" s="37" t="s">
        <v>846</v>
      </c>
      <c r="B156" s="37" t="s">
        <v>269</v>
      </c>
      <c r="C156" s="37" t="s">
        <v>762</v>
      </c>
      <c r="D156" s="37" t="s">
        <v>360</v>
      </c>
      <c r="E156" s="38" t="s">
        <v>847</v>
      </c>
      <c r="F156" s="37" t="s">
        <v>362</v>
      </c>
      <c r="G156" s="37"/>
      <c r="H156" s="37" t="s">
        <v>847</v>
      </c>
      <c r="I156" s="37">
        <v>3</v>
      </c>
      <c r="J156" s="37" t="s">
        <v>848</v>
      </c>
      <c r="K156" s="37" t="s">
        <v>365</v>
      </c>
      <c r="L156" s="37" t="s">
        <v>366</v>
      </c>
      <c r="M156" s="37" t="s">
        <v>212</v>
      </c>
      <c r="N156" s="37" t="s">
        <v>224</v>
      </c>
      <c r="O156" s="37"/>
      <c r="P156" s="21" t="s">
        <v>1806</v>
      </c>
      <c r="Q156" s="37" t="s">
        <v>472</v>
      </c>
    </row>
    <row r="157" spans="1:17" ht="25">
      <c r="A157" s="37" t="s">
        <v>849</v>
      </c>
      <c r="B157" s="37" t="s">
        <v>269</v>
      </c>
      <c r="C157" s="37" t="s">
        <v>767</v>
      </c>
      <c r="D157" s="37" t="s">
        <v>360</v>
      </c>
      <c r="E157" s="38">
        <v>256</v>
      </c>
      <c r="F157" s="37" t="s">
        <v>370</v>
      </c>
      <c r="G157" s="37"/>
      <c r="H157" s="37" t="s">
        <v>850</v>
      </c>
      <c r="I157" s="37">
        <v>4</v>
      </c>
      <c r="J157" s="37" t="s">
        <v>851</v>
      </c>
      <c r="K157" s="37" t="s">
        <v>365</v>
      </c>
      <c r="L157" s="37" t="s">
        <v>366</v>
      </c>
      <c r="M157" s="37" t="s">
        <v>212</v>
      </c>
      <c r="N157" s="37" t="s">
        <v>224</v>
      </c>
      <c r="O157" s="37"/>
      <c r="P157" s="21" t="s">
        <v>1806</v>
      </c>
      <c r="Q157" s="37" t="s">
        <v>472</v>
      </c>
    </row>
    <row r="158" spans="1:17" ht="25">
      <c r="A158" s="37" t="s">
        <v>852</v>
      </c>
      <c r="B158" s="37" t="s">
        <v>269</v>
      </c>
      <c r="C158" s="37" t="s">
        <v>769</v>
      </c>
      <c r="D158" s="37" t="s">
        <v>360</v>
      </c>
      <c r="E158" s="38" t="s">
        <v>853</v>
      </c>
      <c r="F158" s="37" t="s">
        <v>362</v>
      </c>
      <c r="G158" s="37"/>
      <c r="H158" s="37" t="s">
        <v>854</v>
      </c>
      <c r="I158" s="37">
        <v>1</v>
      </c>
      <c r="J158" s="37" t="s">
        <v>855</v>
      </c>
      <c r="K158" s="37" t="s">
        <v>365</v>
      </c>
      <c r="L158" s="37" t="s">
        <v>366</v>
      </c>
      <c r="M158" s="37" t="s">
        <v>212</v>
      </c>
      <c r="N158" s="37" t="s">
        <v>224</v>
      </c>
      <c r="O158" s="37"/>
      <c r="P158" s="21" t="s">
        <v>1806</v>
      </c>
      <c r="Q158" s="37" t="s">
        <v>472</v>
      </c>
    </row>
    <row r="159" spans="1:17" ht="25">
      <c r="A159" s="37" t="s">
        <v>856</v>
      </c>
      <c r="B159" s="37" t="s">
        <v>269</v>
      </c>
      <c r="C159" s="37" t="s">
        <v>857</v>
      </c>
      <c r="D159" s="37" t="s">
        <v>360</v>
      </c>
      <c r="E159" s="38" t="s">
        <v>858</v>
      </c>
      <c r="F159" s="37" t="s">
        <v>362</v>
      </c>
      <c r="G159" s="37"/>
      <c r="H159" s="37" t="s">
        <v>859</v>
      </c>
      <c r="I159" s="37">
        <v>4</v>
      </c>
      <c r="J159" s="37" t="s">
        <v>860</v>
      </c>
      <c r="K159" s="37" t="s">
        <v>365</v>
      </c>
      <c r="L159" s="37" t="s">
        <v>366</v>
      </c>
      <c r="M159" s="37" t="s">
        <v>212</v>
      </c>
      <c r="N159" s="37" t="s">
        <v>224</v>
      </c>
      <c r="O159" s="37"/>
      <c r="P159" s="21" t="s">
        <v>1806</v>
      </c>
      <c r="Q159" s="37" t="s">
        <v>472</v>
      </c>
    </row>
    <row r="160" spans="1:17" ht="25">
      <c r="A160" s="37" t="s">
        <v>861</v>
      </c>
      <c r="B160" s="37" t="s">
        <v>269</v>
      </c>
      <c r="C160" s="37" t="s">
        <v>862</v>
      </c>
      <c r="D160" s="37" t="s">
        <v>360</v>
      </c>
      <c r="E160" s="38" t="s">
        <v>863</v>
      </c>
      <c r="F160" s="37" t="s">
        <v>362</v>
      </c>
      <c r="G160" s="37"/>
      <c r="H160" s="37" t="s">
        <v>864</v>
      </c>
      <c r="I160" s="37">
        <v>4</v>
      </c>
      <c r="J160" s="37" t="s">
        <v>865</v>
      </c>
      <c r="K160" s="37" t="s">
        <v>365</v>
      </c>
      <c r="L160" s="37" t="s">
        <v>366</v>
      </c>
      <c r="M160" s="37" t="s">
        <v>212</v>
      </c>
      <c r="N160" s="37" t="s">
        <v>224</v>
      </c>
      <c r="O160" s="37"/>
      <c r="P160" s="21" t="s">
        <v>1806</v>
      </c>
      <c r="Q160" s="37" t="s">
        <v>472</v>
      </c>
    </row>
    <row r="161" spans="1:17" ht="25">
      <c r="A161" s="37" t="s">
        <v>866</v>
      </c>
      <c r="B161" s="37" t="s">
        <v>269</v>
      </c>
      <c r="C161" s="37" t="s">
        <v>867</v>
      </c>
      <c r="D161" s="37" t="s">
        <v>360</v>
      </c>
      <c r="E161" s="38" t="s">
        <v>868</v>
      </c>
      <c r="F161" s="37" t="s">
        <v>362</v>
      </c>
      <c r="G161" s="37"/>
      <c r="H161" s="37" t="s">
        <v>869</v>
      </c>
      <c r="I161" s="37">
        <v>4</v>
      </c>
      <c r="J161" s="37" t="s">
        <v>870</v>
      </c>
      <c r="K161" s="37" t="s">
        <v>365</v>
      </c>
      <c r="L161" s="37" t="s">
        <v>366</v>
      </c>
      <c r="M161" s="37" t="s">
        <v>212</v>
      </c>
      <c r="N161" s="37" t="s">
        <v>224</v>
      </c>
      <c r="O161" s="37"/>
      <c r="P161" s="21" t="s">
        <v>1806</v>
      </c>
      <c r="Q161" s="37" t="s">
        <v>472</v>
      </c>
    </row>
    <row r="162" spans="1:17" ht="25">
      <c r="A162" s="37" t="s">
        <v>871</v>
      </c>
      <c r="B162" s="37" t="s">
        <v>269</v>
      </c>
      <c r="C162" s="37" t="s">
        <v>772</v>
      </c>
      <c r="D162" s="37" t="s">
        <v>360</v>
      </c>
      <c r="E162" s="38" t="s">
        <v>872</v>
      </c>
      <c r="F162" s="37" t="s">
        <v>362</v>
      </c>
      <c r="G162" s="37"/>
      <c r="H162" s="37" t="s">
        <v>873</v>
      </c>
      <c r="I162" s="37">
        <v>4</v>
      </c>
      <c r="J162" s="37" t="s">
        <v>874</v>
      </c>
      <c r="K162" s="37" t="s">
        <v>365</v>
      </c>
      <c r="L162" s="37" t="s">
        <v>366</v>
      </c>
      <c r="M162" s="37" t="s">
        <v>212</v>
      </c>
      <c r="N162" s="37" t="s">
        <v>224</v>
      </c>
      <c r="O162" s="37"/>
      <c r="P162" s="21" t="s">
        <v>1806</v>
      </c>
      <c r="Q162" s="37" t="s">
        <v>472</v>
      </c>
    </row>
    <row r="163" spans="1:17" ht="25">
      <c r="A163" s="37" t="s">
        <v>875</v>
      </c>
      <c r="B163" s="37" t="s">
        <v>269</v>
      </c>
      <c r="C163" s="37" t="s">
        <v>876</v>
      </c>
      <c r="D163" s="37" t="s">
        <v>360</v>
      </c>
      <c r="E163" s="38" t="s">
        <v>877</v>
      </c>
      <c r="F163" s="37" t="s">
        <v>362</v>
      </c>
      <c r="G163" s="37"/>
      <c r="H163" s="37" t="s">
        <v>878</v>
      </c>
      <c r="I163" s="37">
        <v>3</v>
      </c>
      <c r="J163" s="37" t="s">
        <v>879</v>
      </c>
      <c r="K163" s="37" t="s">
        <v>365</v>
      </c>
      <c r="L163" s="37" t="s">
        <v>366</v>
      </c>
      <c r="M163" s="37" t="s">
        <v>212</v>
      </c>
      <c r="N163" s="37" t="s">
        <v>224</v>
      </c>
      <c r="O163" s="37"/>
      <c r="P163" s="21" t="s">
        <v>1806</v>
      </c>
      <c r="Q163" s="37" t="s">
        <v>472</v>
      </c>
    </row>
    <row r="164" spans="1:17" ht="25">
      <c r="A164" s="37" t="s">
        <v>880</v>
      </c>
      <c r="B164" s="37" t="s">
        <v>269</v>
      </c>
      <c r="C164" s="37" t="s">
        <v>777</v>
      </c>
      <c r="D164" s="37" t="s">
        <v>360</v>
      </c>
      <c r="E164" s="38" t="s">
        <v>881</v>
      </c>
      <c r="F164" s="37" t="s">
        <v>362</v>
      </c>
      <c r="G164" s="37"/>
      <c r="H164" s="37" t="s">
        <v>882</v>
      </c>
      <c r="I164" s="37">
        <v>4</v>
      </c>
      <c r="J164" s="37" t="s">
        <v>883</v>
      </c>
      <c r="K164" s="37" t="s">
        <v>365</v>
      </c>
      <c r="L164" s="37" t="s">
        <v>366</v>
      </c>
      <c r="M164" s="37" t="s">
        <v>212</v>
      </c>
      <c r="N164" s="37" t="s">
        <v>224</v>
      </c>
      <c r="O164" s="37"/>
      <c r="P164" s="21" t="s">
        <v>1806</v>
      </c>
      <c r="Q164" s="37" t="s">
        <v>472</v>
      </c>
    </row>
    <row r="165" spans="1:17" ht="25">
      <c r="A165" s="37" t="s">
        <v>884</v>
      </c>
      <c r="B165" s="37" t="s">
        <v>269</v>
      </c>
      <c r="C165" s="37" t="s">
        <v>779</v>
      </c>
      <c r="D165" s="37" t="s">
        <v>360</v>
      </c>
      <c r="E165" s="38" t="s">
        <v>885</v>
      </c>
      <c r="F165" s="37" t="s">
        <v>362</v>
      </c>
      <c r="G165" s="37"/>
      <c r="H165" s="37" t="s">
        <v>886</v>
      </c>
      <c r="I165" s="37">
        <v>3</v>
      </c>
      <c r="J165" s="37" t="s">
        <v>887</v>
      </c>
      <c r="K165" s="37" t="s">
        <v>365</v>
      </c>
      <c r="L165" s="37" t="s">
        <v>366</v>
      </c>
      <c r="M165" s="37" t="s">
        <v>212</v>
      </c>
      <c r="N165" s="37" t="s">
        <v>224</v>
      </c>
      <c r="O165" s="37"/>
      <c r="P165" s="21" t="s">
        <v>1806</v>
      </c>
      <c r="Q165" s="37" t="s">
        <v>472</v>
      </c>
    </row>
    <row r="166" spans="1:17" ht="25">
      <c r="A166" s="37" t="s">
        <v>888</v>
      </c>
      <c r="B166" s="37" t="s">
        <v>269</v>
      </c>
      <c r="C166" s="37" t="s">
        <v>450</v>
      </c>
      <c r="D166" s="37" t="s">
        <v>360</v>
      </c>
      <c r="E166" s="38">
        <v>7.1</v>
      </c>
      <c r="F166" s="37" t="s">
        <v>451</v>
      </c>
      <c r="G166" s="37" t="s">
        <v>452</v>
      </c>
      <c r="H166" s="37" t="s">
        <v>889</v>
      </c>
      <c r="I166" s="37">
        <v>4</v>
      </c>
      <c r="J166" s="37" t="s">
        <v>890</v>
      </c>
      <c r="K166" s="37" t="s">
        <v>365</v>
      </c>
      <c r="L166" s="37" t="s">
        <v>366</v>
      </c>
      <c r="M166" s="37" t="s">
        <v>212</v>
      </c>
      <c r="N166" s="37" t="s">
        <v>224</v>
      </c>
      <c r="O166" s="37"/>
      <c r="P166" s="21" t="s">
        <v>1806</v>
      </c>
      <c r="Q166" s="37" t="s">
        <v>472</v>
      </c>
    </row>
    <row r="167" spans="1:17" ht="25">
      <c r="A167" s="37" t="s">
        <v>891</v>
      </c>
      <c r="B167" s="37" t="s">
        <v>269</v>
      </c>
      <c r="C167" s="37" t="s">
        <v>456</v>
      </c>
      <c r="D167" s="37" t="s">
        <v>360</v>
      </c>
      <c r="E167" s="38" t="s">
        <v>892</v>
      </c>
      <c r="F167" s="37" t="s">
        <v>362</v>
      </c>
      <c r="G167" s="37" t="s">
        <v>458</v>
      </c>
      <c r="H167" s="37" t="s">
        <v>892</v>
      </c>
      <c r="I167" s="37">
        <v>4</v>
      </c>
      <c r="J167" s="37" t="s">
        <v>893</v>
      </c>
      <c r="K167" s="37" t="s">
        <v>365</v>
      </c>
      <c r="L167" s="37" t="s">
        <v>366</v>
      </c>
      <c r="M167" s="37" t="s">
        <v>212</v>
      </c>
      <c r="N167" s="37" t="s">
        <v>224</v>
      </c>
      <c r="O167" s="37"/>
      <c r="P167" s="21" t="s">
        <v>1806</v>
      </c>
      <c r="Q167" s="37" t="s">
        <v>472</v>
      </c>
    </row>
    <row r="168" spans="1:17" ht="25">
      <c r="A168" s="37" t="s">
        <v>894</v>
      </c>
      <c r="B168" s="37" t="s">
        <v>269</v>
      </c>
      <c r="C168" s="37" t="s">
        <v>462</v>
      </c>
      <c r="D168" s="37" t="s">
        <v>360</v>
      </c>
      <c r="E168" s="38" t="s">
        <v>895</v>
      </c>
      <c r="F168" s="37" t="s">
        <v>362</v>
      </c>
      <c r="G168" s="37" t="s">
        <v>464</v>
      </c>
      <c r="H168" s="37" t="s">
        <v>895</v>
      </c>
      <c r="I168" s="37">
        <v>4</v>
      </c>
      <c r="J168" s="37" t="s">
        <v>896</v>
      </c>
      <c r="K168" s="37" t="s">
        <v>365</v>
      </c>
      <c r="L168" s="37" t="s">
        <v>366</v>
      </c>
      <c r="M168" s="37" t="s">
        <v>212</v>
      </c>
      <c r="N168" s="37" t="s">
        <v>224</v>
      </c>
      <c r="O168" s="37"/>
      <c r="P168" s="21" t="s">
        <v>1806</v>
      </c>
      <c r="Q168" s="37" t="s">
        <v>472</v>
      </c>
    </row>
    <row r="169" spans="1:17" ht="25">
      <c r="A169" s="37" t="s">
        <v>897</v>
      </c>
      <c r="B169" s="37" t="s">
        <v>274</v>
      </c>
      <c r="C169" s="37" t="s">
        <v>396</v>
      </c>
      <c r="D169" s="37" t="s">
        <v>360</v>
      </c>
      <c r="E169" s="38" t="s">
        <v>898</v>
      </c>
      <c r="F169" s="37" t="s">
        <v>362</v>
      </c>
      <c r="G169" s="37"/>
      <c r="H169" s="37" t="s">
        <v>899</v>
      </c>
      <c r="I169" s="37">
        <v>6</v>
      </c>
      <c r="J169" s="37" t="s">
        <v>900</v>
      </c>
      <c r="K169" s="37" t="s">
        <v>365</v>
      </c>
      <c r="L169" s="37" t="s">
        <v>366</v>
      </c>
      <c r="M169" s="37" t="s">
        <v>211</v>
      </c>
      <c r="N169" s="37" t="s">
        <v>224</v>
      </c>
      <c r="O169" s="37"/>
      <c r="P169" s="21" t="s">
        <v>1806</v>
      </c>
      <c r="Q169" s="37" t="s">
        <v>472</v>
      </c>
    </row>
    <row r="170" spans="1:17" ht="25">
      <c r="A170" s="37" t="s">
        <v>901</v>
      </c>
      <c r="B170" s="37" t="s">
        <v>274</v>
      </c>
      <c r="C170" s="37" t="s">
        <v>550</v>
      </c>
      <c r="D170" s="37" t="s">
        <v>360</v>
      </c>
      <c r="E170" s="38" t="s">
        <v>902</v>
      </c>
      <c r="F170" s="37" t="s">
        <v>362</v>
      </c>
      <c r="G170" s="37"/>
      <c r="H170" s="37" t="s">
        <v>903</v>
      </c>
      <c r="I170" s="37">
        <v>6</v>
      </c>
      <c r="J170" s="37" t="s">
        <v>904</v>
      </c>
      <c r="K170" s="37" t="s">
        <v>365</v>
      </c>
      <c r="L170" s="37" t="s">
        <v>366</v>
      </c>
      <c r="M170" s="37" t="s">
        <v>211</v>
      </c>
      <c r="N170" s="37" t="s">
        <v>224</v>
      </c>
      <c r="O170" s="37"/>
      <c r="P170" s="21" t="s">
        <v>1806</v>
      </c>
      <c r="Q170" s="37" t="s">
        <v>472</v>
      </c>
    </row>
    <row r="171" spans="1:17" ht="25">
      <c r="A171" s="37" t="s">
        <v>905</v>
      </c>
      <c r="B171" s="37" t="s">
        <v>274</v>
      </c>
      <c r="C171" s="37" t="s">
        <v>553</v>
      </c>
      <c r="D171" s="37" t="s">
        <v>480</v>
      </c>
      <c r="E171" s="38"/>
      <c r="F171" s="37" t="s">
        <v>451</v>
      </c>
      <c r="G171" s="37" t="s">
        <v>554</v>
      </c>
      <c r="H171" s="37" t="s">
        <v>906</v>
      </c>
      <c r="I171" s="37"/>
      <c r="J171" s="37"/>
      <c r="K171" s="37" t="s">
        <v>365</v>
      </c>
      <c r="L171" s="37"/>
      <c r="M171" s="37" t="s">
        <v>211</v>
      </c>
      <c r="N171" s="37" t="s">
        <v>224</v>
      </c>
      <c r="O171" s="37"/>
      <c r="P171" s="21" t="s">
        <v>1806</v>
      </c>
      <c r="Q171" s="37" t="s">
        <v>482</v>
      </c>
    </row>
    <row r="172" spans="1:17" ht="25">
      <c r="A172" s="37" t="s">
        <v>907</v>
      </c>
      <c r="B172" s="37" t="s">
        <v>274</v>
      </c>
      <c r="C172" s="37" t="s">
        <v>558</v>
      </c>
      <c r="D172" s="37" t="s">
        <v>480</v>
      </c>
      <c r="E172" s="38"/>
      <c r="F172" s="37" t="s">
        <v>451</v>
      </c>
      <c r="G172" s="37" t="s">
        <v>559</v>
      </c>
      <c r="H172" s="37" t="s">
        <v>906</v>
      </c>
      <c r="I172" s="37"/>
      <c r="J172" s="37"/>
      <c r="K172" s="37" t="s">
        <v>365</v>
      </c>
      <c r="L172" s="37"/>
      <c r="M172" s="37" t="s">
        <v>211</v>
      </c>
      <c r="N172" s="37" t="s">
        <v>224</v>
      </c>
      <c r="O172" s="37"/>
      <c r="P172" s="21" t="s">
        <v>1806</v>
      </c>
      <c r="Q172" s="37" t="s">
        <v>482</v>
      </c>
    </row>
    <row r="173" spans="1:17" ht="25">
      <c r="A173" s="37" t="s">
        <v>908</v>
      </c>
      <c r="B173" s="37" t="s">
        <v>274</v>
      </c>
      <c r="C173" s="37" t="s">
        <v>564</v>
      </c>
      <c r="D173" s="37" t="s">
        <v>386</v>
      </c>
      <c r="E173" s="38"/>
      <c r="F173" s="37" t="s">
        <v>362</v>
      </c>
      <c r="G173" s="37"/>
      <c r="H173" s="37" t="s">
        <v>909</v>
      </c>
      <c r="I173" s="37"/>
      <c r="J173" s="37"/>
      <c r="K173" s="37" t="s">
        <v>365</v>
      </c>
      <c r="L173" s="37"/>
      <c r="M173" s="37" t="s">
        <v>211</v>
      </c>
      <c r="N173" s="37" t="s">
        <v>224</v>
      </c>
      <c r="O173" s="37"/>
      <c r="P173" s="21" t="s">
        <v>1806</v>
      </c>
      <c r="Q173" s="37" t="s">
        <v>482</v>
      </c>
    </row>
    <row r="174" spans="1:17" ht="25">
      <c r="A174" s="37" t="s">
        <v>910</v>
      </c>
      <c r="B174" s="37" t="s">
        <v>274</v>
      </c>
      <c r="C174" s="37" t="s">
        <v>567</v>
      </c>
      <c r="D174" s="37" t="s">
        <v>386</v>
      </c>
      <c r="E174" s="38"/>
      <c r="F174" s="37" t="s">
        <v>370</v>
      </c>
      <c r="G174" s="37"/>
      <c r="H174" s="37" t="s">
        <v>909</v>
      </c>
      <c r="I174" s="37"/>
      <c r="J174" s="37"/>
      <c r="K174" s="37" t="s">
        <v>365</v>
      </c>
      <c r="L174" s="37"/>
      <c r="M174" s="37" t="s">
        <v>211</v>
      </c>
      <c r="N174" s="37" t="s">
        <v>224</v>
      </c>
      <c r="O174" s="37"/>
      <c r="P174" s="21" t="s">
        <v>1806</v>
      </c>
      <c r="Q174" s="37" t="s">
        <v>482</v>
      </c>
    </row>
    <row r="175" spans="1:17" ht="25">
      <c r="A175" s="37" t="s">
        <v>911</v>
      </c>
      <c r="B175" s="37" t="s">
        <v>274</v>
      </c>
      <c r="C175" s="37" t="s">
        <v>569</v>
      </c>
      <c r="D175" s="37" t="s">
        <v>386</v>
      </c>
      <c r="E175" s="38"/>
      <c r="F175" s="37" t="s">
        <v>451</v>
      </c>
      <c r="G175" s="37" t="s">
        <v>452</v>
      </c>
      <c r="H175" s="37" t="s">
        <v>909</v>
      </c>
      <c r="I175" s="37"/>
      <c r="J175" s="37"/>
      <c r="K175" s="37" t="s">
        <v>365</v>
      </c>
      <c r="L175" s="37"/>
      <c r="M175" s="37" t="s">
        <v>211</v>
      </c>
      <c r="N175" s="37" t="s">
        <v>224</v>
      </c>
      <c r="O175" s="37"/>
      <c r="P175" s="21" t="s">
        <v>1806</v>
      </c>
      <c r="Q175" s="37" t="s">
        <v>482</v>
      </c>
    </row>
    <row r="176" spans="1:17" ht="62.5">
      <c r="A176" s="37" t="s">
        <v>912</v>
      </c>
      <c r="B176" s="37" t="s">
        <v>274</v>
      </c>
      <c r="C176" s="37" t="s">
        <v>769</v>
      </c>
      <c r="D176" s="37" t="s">
        <v>480</v>
      </c>
      <c r="E176" s="38"/>
      <c r="F176" s="37" t="s">
        <v>362</v>
      </c>
      <c r="G176" s="37"/>
      <c r="H176" s="37"/>
      <c r="I176" s="37">
        <v>17</v>
      </c>
      <c r="J176" s="37" t="s">
        <v>913</v>
      </c>
      <c r="K176" s="37" t="s">
        <v>365</v>
      </c>
      <c r="L176" s="37" t="s">
        <v>366</v>
      </c>
      <c r="M176" s="37" t="s">
        <v>212</v>
      </c>
      <c r="N176" s="37" t="s">
        <v>224</v>
      </c>
      <c r="O176" s="37"/>
      <c r="P176" s="21" t="s">
        <v>1806</v>
      </c>
      <c r="Q176" s="37" t="s">
        <v>472</v>
      </c>
    </row>
    <row r="177" spans="1:17" ht="25">
      <c r="A177" s="37" t="s">
        <v>914</v>
      </c>
      <c r="B177" s="37" t="s">
        <v>274</v>
      </c>
      <c r="C177" s="37" t="s">
        <v>857</v>
      </c>
      <c r="D177" s="37" t="s">
        <v>480</v>
      </c>
      <c r="E177" s="38"/>
      <c r="F177" s="37" t="s">
        <v>362</v>
      </c>
      <c r="G177" s="37"/>
      <c r="H177" s="37"/>
      <c r="I177" s="37"/>
      <c r="J177" s="37"/>
      <c r="K177" s="37" t="s">
        <v>365</v>
      </c>
      <c r="L177" s="37"/>
      <c r="M177" s="37" t="s">
        <v>212</v>
      </c>
      <c r="N177" s="37" t="s">
        <v>224</v>
      </c>
      <c r="O177" s="37"/>
      <c r="P177" s="21" t="s">
        <v>1806</v>
      </c>
      <c r="Q177" s="37" t="s">
        <v>482</v>
      </c>
    </row>
    <row r="178" spans="1:17" ht="25">
      <c r="A178" s="37" t="s">
        <v>915</v>
      </c>
      <c r="B178" s="37" t="s">
        <v>274</v>
      </c>
      <c r="C178" s="37" t="s">
        <v>862</v>
      </c>
      <c r="D178" s="37" t="s">
        <v>480</v>
      </c>
      <c r="E178" s="38"/>
      <c r="F178" s="37" t="s">
        <v>362</v>
      </c>
      <c r="G178" s="37"/>
      <c r="H178" s="37"/>
      <c r="I178" s="37"/>
      <c r="J178" s="37"/>
      <c r="K178" s="37" t="s">
        <v>365</v>
      </c>
      <c r="L178" s="37"/>
      <c r="M178" s="37" t="s">
        <v>212</v>
      </c>
      <c r="N178" s="37" t="s">
        <v>224</v>
      </c>
      <c r="O178" s="37"/>
      <c r="P178" s="21" t="s">
        <v>1806</v>
      </c>
      <c r="Q178" s="37" t="s">
        <v>482</v>
      </c>
    </row>
    <row r="179" spans="1:17" ht="25">
      <c r="A179" s="37" t="s">
        <v>916</v>
      </c>
      <c r="B179" s="37" t="s">
        <v>274</v>
      </c>
      <c r="C179" s="37" t="s">
        <v>867</v>
      </c>
      <c r="D179" s="37" t="s">
        <v>480</v>
      </c>
      <c r="E179" s="38"/>
      <c r="F179" s="37" t="s">
        <v>362</v>
      </c>
      <c r="G179" s="37"/>
      <c r="H179" s="37"/>
      <c r="I179" s="37"/>
      <c r="J179" s="37"/>
      <c r="K179" s="37" t="s">
        <v>365</v>
      </c>
      <c r="L179" s="37"/>
      <c r="M179" s="37" t="s">
        <v>212</v>
      </c>
      <c r="N179" s="37" t="s">
        <v>224</v>
      </c>
      <c r="O179" s="37"/>
      <c r="P179" s="21" t="s">
        <v>1806</v>
      </c>
      <c r="Q179" s="37" t="s">
        <v>482</v>
      </c>
    </row>
    <row r="180" spans="1:17" ht="25">
      <c r="A180" s="37" t="s">
        <v>917</v>
      </c>
      <c r="B180" s="37" t="s">
        <v>274</v>
      </c>
      <c r="C180" s="37" t="s">
        <v>918</v>
      </c>
      <c r="D180" s="37" t="s">
        <v>480</v>
      </c>
      <c r="E180" s="38"/>
      <c r="F180" s="37" t="s">
        <v>441</v>
      </c>
      <c r="G180" s="37"/>
      <c r="H180" s="37"/>
      <c r="I180" s="37"/>
      <c r="J180" s="37"/>
      <c r="K180" s="37" t="s">
        <v>365</v>
      </c>
      <c r="L180" s="37"/>
      <c r="M180" s="37" t="s">
        <v>212</v>
      </c>
      <c r="N180" s="37" t="s">
        <v>224</v>
      </c>
      <c r="O180" s="37"/>
      <c r="P180" s="21" t="s">
        <v>1806</v>
      </c>
      <c r="Q180" s="37" t="s">
        <v>482</v>
      </c>
    </row>
    <row r="181" spans="1:17" ht="37.5">
      <c r="A181" s="37" t="s">
        <v>919</v>
      </c>
      <c r="B181" s="37" t="s">
        <v>274</v>
      </c>
      <c r="C181" s="37" t="s">
        <v>920</v>
      </c>
      <c r="D181" s="37" t="s">
        <v>480</v>
      </c>
      <c r="E181" s="38"/>
      <c r="F181" s="37" t="s">
        <v>441</v>
      </c>
      <c r="G181" s="37"/>
      <c r="H181" s="37"/>
      <c r="I181" s="37">
        <v>3</v>
      </c>
      <c r="J181" s="37" t="s">
        <v>921</v>
      </c>
      <c r="K181" s="37" t="s">
        <v>365</v>
      </c>
      <c r="L181" s="37" t="s">
        <v>366</v>
      </c>
      <c r="M181" s="37" t="s">
        <v>212</v>
      </c>
      <c r="N181" s="37" t="s">
        <v>224</v>
      </c>
      <c r="O181" s="37"/>
      <c r="P181" s="21" t="s">
        <v>1806</v>
      </c>
      <c r="Q181" s="37" t="s">
        <v>472</v>
      </c>
    </row>
    <row r="182" spans="1:17" ht="25">
      <c r="A182" s="37" t="s">
        <v>922</v>
      </c>
      <c r="B182" s="37" t="s">
        <v>274</v>
      </c>
      <c r="C182" s="37" t="s">
        <v>923</v>
      </c>
      <c r="D182" s="37" t="s">
        <v>480</v>
      </c>
      <c r="E182" s="38"/>
      <c r="F182" s="37" t="s">
        <v>441</v>
      </c>
      <c r="G182" s="37"/>
      <c r="H182" s="37"/>
      <c r="I182" s="37"/>
      <c r="J182" s="37"/>
      <c r="K182" s="37" t="s">
        <v>365</v>
      </c>
      <c r="L182" s="37"/>
      <c r="M182" s="37" t="s">
        <v>212</v>
      </c>
      <c r="N182" s="37" t="s">
        <v>224</v>
      </c>
      <c r="O182" s="37"/>
      <c r="P182" s="21" t="s">
        <v>1806</v>
      </c>
      <c r="Q182" s="37" t="s">
        <v>482</v>
      </c>
    </row>
    <row r="183" spans="1:17" ht="25">
      <c r="A183" s="37" t="s">
        <v>924</v>
      </c>
      <c r="B183" s="37" t="s">
        <v>274</v>
      </c>
      <c r="C183" s="37" t="s">
        <v>925</v>
      </c>
      <c r="D183" s="37" t="s">
        <v>480</v>
      </c>
      <c r="E183" s="38"/>
      <c r="F183" s="37" t="s">
        <v>441</v>
      </c>
      <c r="G183" s="37"/>
      <c r="H183" s="37"/>
      <c r="I183" s="37"/>
      <c r="J183" s="37"/>
      <c r="K183" s="37" t="s">
        <v>365</v>
      </c>
      <c r="L183" s="37"/>
      <c r="M183" s="37" t="s">
        <v>212</v>
      </c>
      <c r="N183" s="37" t="s">
        <v>224</v>
      </c>
      <c r="O183" s="37"/>
      <c r="P183" s="21" t="s">
        <v>1806</v>
      </c>
      <c r="Q183" s="37" t="s">
        <v>482</v>
      </c>
    </row>
    <row r="184" spans="1:17" ht="25">
      <c r="A184" s="37" t="s">
        <v>926</v>
      </c>
      <c r="B184" s="37" t="s">
        <v>274</v>
      </c>
      <c r="C184" s="37" t="s">
        <v>927</v>
      </c>
      <c r="D184" s="37" t="s">
        <v>480</v>
      </c>
      <c r="E184" s="38"/>
      <c r="F184" s="37" t="s">
        <v>441</v>
      </c>
      <c r="G184" s="37"/>
      <c r="H184" s="37"/>
      <c r="I184" s="37"/>
      <c r="J184" s="37"/>
      <c r="K184" s="37" t="s">
        <v>365</v>
      </c>
      <c r="L184" s="37"/>
      <c r="M184" s="37" t="s">
        <v>212</v>
      </c>
      <c r="N184" s="37" t="s">
        <v>224</v>
      </c>
      <c r="O184" s="37"/>
      <c r="P184" s="21" t="s">
        <v>1806</v>
      </c>
      <c r="Q184" s="37" t="s">
        <v>482</v>
      </c>
    </row>
    <row r="185" spans="1:17" ht="25">
      <c r="A185" s="37" t="s">
        <v>928</v>
      </c>
      <c r="B185" s="37" t="s">
        <v>274</v>
      </c>
      <c r="C185" s="37" t="s">
        <v>929</v>
      </c>
      <c r="D185" s="37" t="s">
        <v>480</v>
      </c>
      <c r="E185" s="38"/>
      <c r="F185" s="37" t="s">
        <v>362</v>
      </c>
      <c r="G185" s="37"/>
      <c r="H185" s="37"/>
      <c r="I185" s="37"/>
      <c r="J185" s="37"/>
      <c r="K185" s="37" t="s">
        <v>365</v>
      </c>
      <c r="L185" s="37"/>
      <c r="M185" s="37" t="s">
        <v>212</v>
      </c>
      <c r="N185" s="37" t="s">
        <v>224</v>
      </c>
      <c r="O185" s="37"/>
      <c r="P185" s="21" t="s">
        <v>1806</v>
      </c>
      <c r="Q185" s="37" t="s">
        <v>482</v>
      </c>
    </row>
    <row r="186" spans="1:17" ht="25">
      <c r="A186" s="37" t="s">
        <v>930</v>
      </c>
      <c r="B186" s="37" t="s">
        <v>274</v>
      </c>
      <c r="C186" s="37" t="s">
        <v>931</v>
      </c>
      <c r="D186" s="37" t="s">
        <v>480</v>
      </c>
      <c r="E186" s="38"/>
      <c r="F186" s="37" t="s">
        <v>451</v>
      </c>
      <c r="G186" s="37" t="s">
        <v>554</v>
      </c>
      <c r="H186" s="37"/>
      <c r="I186" s="37"/>
      <c r="J186" s="37"/>
      <c r="K186" s="37" t="s">
        <v>365</v>
      </c>
      <c r="L186" s="37"/>
      <c r="M186" s="37" t="s">
        <v>212</v>
      </c>
      <c r="N186" s="37" t="s">
        <v>224</v>
      </c>
      <c r="O186" s="37"/>
      <c r="P186" s="21" t="s">
        <v>1806</v>
      </c>
      <c r="Q186" s="37" t="s">
        <v>482</v>
      </c>
    </row>
    <row r="187" spans="1:17" ht="50">
      <c r="A187" s="37" t="s">
        <v>932</v>
      </c>
      <c r="B187" s="37" t="s">
        <v>274</v>
      </c>
      <c r="C187" s="37" t="s">
        <v>779</v>
      </c>
      <c r="D187" s="37" t="s">
        <v>480</v>
      </c>
      <c r="E187" s="38"/>
      <c r="F187" s="37" t="s">
        <v>362</v>
      </c>
      <c r="G187" s="37"/>
      <c r="H187" s="37"/>
      <c r="I187" s="37">
        <v>4</v>
      </c>
      <c r="J187" s="37" t="s">
        <v>933</v>
      </c>
      <c r="K187" s="37" t="s">
        <v>365</v>
      </c>
      <c r="L187" s="37" t="s">
        <v>366</v>
      </c>
      <c r="M187" s="37" t="s">
        <v>212</v>
      </c>
      <c r="N187" s="37" t="s">
        <v>224</v>
      </c>
      <c r="O187" s="37"/>
      <c r="P187" s="21" t="s">
        <v>1806</v>
      </c>
      <c r="Q187" s="37" t="s">
        <v>472</v>
      </c>
    </row>
    <row r="188" spans="1:17" ht="37.5">
      <c r="A188" s="37" t="s">
        <v>934</v>
      </c>
      <c r="B188" s="37" t="s">
        <v>274</v>
      </c>
      <c r="C188" s="37" t="s">
        <v>450</v>
      </c>
      <c r="D188" s="37" t="s">
        <v>480</v>
      </c>
      <c r="E188" s="38"/>
      <c r="F188" s="37" t="s">
        <v>451</v>
      </c>
      <c r="G188" s="37" t="s">
        <v>452</v>
      </c>
      <c r="H188" s="37"/>
      <c r="I188" s="37">
        <v>13</v>
      </c>
      <c r="J188" s="37" t="s">
        <v>935</v>
      </c>
      <c r="K188" s="37" t="s">
        <v>365</v>
      </c>
      <c r="L188" s="37" t="s">
        <v>366</v>
      </c>
      <c r="M188" s="37" t="s">
        <v>212</v>
      </c>
      <c r="N188" s="37" t="s">
        <v>224</v>
      </c>
      <c r="O188" s="37"/>
      <c r="P188" s="21" t="s">
        <v>1806</v>
      </c>
      <c r="Q188" s="37" t="s">
        <v>472</v>
      </c>
    </row>
    <row r="189" spans="1:17" ht="25">
      <c r="A189" s="37" t="s">
        <v>936</v>
      </c>
      <c r="B189" s="37" t="s">
        <v>274</v>
      </c>
      <c r="C189" s="37" t="s">
        <v>456</v>
      </c>
      <c r="D189" s="37" t="s">
        <v>360</v>
      </c>
      <c r="E189" s="38" t="s">
        <v>937</v>
      </c>
      <c r="F189" s="37" t="s">
        <v>362</v>
      </c>
      <c r="G189" s="37" t="s">
        <v>458</v>
      </c>
      <c r="H189" s="37" t="s">
        <v>938</v>
      </c>
      <c r="I189" s="37">
        <v>6</v>
      </c>
      <c r="J189" s="37" t="s">
        <v>939</v>
      </c>
      <c r="K189" s="37" t="s">
        <v>365</v>
      </c>
      <c r="L189" s="37" t="s">
        <v>366</v>
      </c>
      <c r="M189" s="37" t="s">
        <v>212</v>
      </c>
      <c r="N189" s="37" t="s">
        <v>224</v>
      </c>
      <c r="O189" s="37"/>
      <c r="P189" s="21" t="s">
        <v>1806</v>
      </c>
      <c r="Q189" s="37" t="s">
        <v>472</v>
      </c>
    </row>
    <row r="190" spans="1:17" ht="25">
      <c r="A190" s="37" t="s">
        <v>940</v>
      </c>
      <c r="B190" s="37" t="s">
        <v>274</v>
      </c>
      <c r="C190" s="37" t="s">
        <v>462</v>
      </c>
      <c r="D190" s="37" t="s">
        <v>480</v>
      </c>
      <c r="E190" s="38"/>
      <c r="F190" s="37" t="s">
        <v>362</v>
      </c>
      <c r="G190" s="37" t="s">
        <v>464</v>
      </c>
      <c r="H190" s="37"/>
      <c r="I190" s="37"/>
      <c r="J190" s="37"/>
      <c r="K190" s="37" t="s">
        <v>365</v>
      </c>
      <c r="L190" s="37"/>
      <c r="M190" s="37" t="s">
        <v>212</v>
      </c>
      <c r="N190" s="37" t="s">
        <v>224</v>
      </c>
      <c r="O190" s="37"/>
      <c r="P190" s="21" t="s">
        <v>1806</v>
      </c>
      <c r="Q190" s="37" t="s">
        <v>482</v>
      </c>
    </row>
    <row r="191" spans="1:17" ht="25">
      <c r="A191" s="37" t="s">
        <v>941</v>
      </c>
      <c r="B191" s="37" t="s">
        <v>280</v>
      </c>
      <c r="C191" s="37" t="s">
        <v>625</v>
      </c>
      <c r="D191" s="37" t="s">
        <v>360</v>
      </c>
      <c r="E191" s="38" t="s">
        <v>942</v>
      </c>
      <c r="F191" s="37" t="s">
        <v>362</v>
      </c>
      <c r="G191" s="37"/>
      <c r="H191" s="37" t="s">
        <v>943</v>
      </c>
      <c r="I191" s="37">
        <v>1</v>
      </c>
      <c r="J191" s="37" t="s">
        <v>944</v>
      </c>
      <c r="K191" s="37" t="s">
        <v>365</v>
      </c>
      <c r="L191" s="37" t="s">
        <v>366</v>
      </c>
      <c r="M191" s="37" t="s">
        <v>211</v>
      </c>
      <c r="N191" s="37" t="s">
        <v>224</v>
      </c>
      <c r="O191" s="37"/>
      <c r="P191" s="21" t="s">
        <v>1806</v>
      </c>
      <c r="Q191" s="37" t="s">
        <v>472</v>
      </c>
    </row>
    <row r="192" spans="1:17" ht="25">
      <c r="A192" s="37" t="s">
        <v>945</v>
      </c>
      <c r="B192" s="37" t="s">
        <v>280</v>
      </c>
      <c r="C192" s="37" t="s">
        <v>635</v>
      </c>
      <c r="D192" s="37" t="s">
        <v>360</v>
      </c>
      <c r="E192" s="38">
        <v>10</v>
      </c>
      <c r="F192" s="37" t="s">
        <v>451</v>
      </c>
      <c r="G192" s="37" t="s">
        <v>554</v>
      </c>
      <c r="H192" s="37" t="s">
        <v>946</v>
      </c>
      <c r="I192" s="37">
        <v>1</v>
      </c>
      <c r="J192" s="37" t="s">
        <v>947</v>
      </c>
      <c r="K192" s="37" t="s">
        <v>365</v>
      </c>
      <c r="L192" s="37" t="s">
        <v>366</v>
      </c>
      <c r="M192" s="37" t="s">
        <v>211</v>
      </c>
      <c r="N192" s="37" t="s">
        <v>224</v>
      </c>
      <c r="O192" s="37"/>
      <c r="P192" s="21" t="s">
        <v>1806</v>
      </c>
      <c r="Q192" s="37" t="s">
        <v>472</v>
      </c>
    </row>
    <row r="193" spans="1:17" ht="25">
      <c r="A193" s="37" t="s">
        <v>948</v>
      </c>
      <c r="B193" s="37" t="s">
        <v>280</v>
      </c>
      <c r="C193" s="37" t="s">
        <v>949</v>
      </c>
      <c r="D193" s="37" t="s">
        <v>360</v>
      </c>
      <c r="E193" s="38">
        <v>3</v>
      </c>
      <c r="F193" s="37" t="s">
        <v>451</v>
      </c>
      <c r="G193" s="37" t="s">
        <v>950</v>
      </c>
      <c r="H193" s="37" t="s">
        <v>951</v>
      </c>
      <c r="I193" s="37">
        <v>1</v>
      </c>
      <c r="J193" s="37" t="s">
        <v>952</v>
      </c>
      <c r="K193" s="37" t="s">
        <v>365</v>
      </c>
      <c r="L193" s="37" t="s">
        <v>366</v>
      </c>
      <c r="M193" s="37" t="s">
        <v>211</v>
      </c>
      <c r="N193" s="37" t="s">
        <v>224</v>
      </c>
      <c r="O193" s="37"/>
      <c r="P193" s="21" t="s">
        <v>1806</v>
      </c>
      <c r="Q193" s="37" t="s">
        <v>472</v>
      </c>
    </row>
    <row r="194" spans="1:17" ht="25">
      <c r="A194" s="37" t="s">
        <v>953</v>
      </c>
      <c r="B194" s="37" t="s">
        <v>280</v>
      </c>
      <c r="C194" s="37" t="s">
        <v>654</v>
      </c>
      <c r="D194" s="37" t="s">
        <v>480</v>
      </c>
      <c r="E194" s="38"/>
      <c r="F194" s="37" t="s">
        <v>362</v>
      </c>
      <c r="G194" s="37"/>
      <c r="H194" s="37"/>
      <c r="I194" s="37"/>
      <c r="J194" s="37"/>
      <c r="K194" s="37" t="s">
        <v>365</v>
      </c>
      <c r="L194" s="37"/>
      <c r="M194" s="37" t="s">
        <v>212</v>
      </c>
      <c r="N194" s="37" t="s">
        <v>224</v>
      </c>
      <c r="O194" s="37"/>
      <c r="P194" s="21" t="s">
        <v>1806</v>
      </c>
      <c r="Q194" s="37" t="s">
        <v>482</v>
      </c>
    </row>
    <row r="195" spans="1:17" ht="25">
      <c r="A195" s="37" t="s">
        <v>954</v>
      </c>
      <c r="B195" s="37" t="s">
        <v>280</v>
      </c>
      <c r="C195" s="37" t="s">
        <v>456</v>
      </c>
      <c r="D195" s="37" t="s">
        <v>480</v>
      </c>
      <c r="E195" s="38"/>
      <c r="F195" s="37" t="s">
        <v>362</v>
      </c>
      <c r="G195" s="37" t="s">
        <v>458</v>
      </c>
      <c r="H195" s="37"/>
      <c r="I195" s="37"/>
      <c r="J195" s="37"/>
      <c r="K195" s="37" t="s">
        <v>365</v>
      </c>
      <c r="L195" s="37"/>
      <c r="M195" s="37" t="s">
        <v>212</v>
      </c>
      <c r="N195" s="37" t="s">
        <v>224</v>
      </c>
      <c r="O195" s="37"/>
      <c r="P195" s="21" t="s">
        <v>1806</v>
      </c>
      <c r="Q195" s="37" t="s">
        <v>482</v>
      </c>
    </row>
    <row r="196" spans="1:17" ht="25">
      <c r="A196" s="37" t="s">
        <v>955</v>
      </c>
      <c r="B196" s="37" t="s">
        <v>280</v>
      </c>
      <c r="C196" s="37" t="s">
        <v>462</v>
      </c>
      <c r="D196" s="37" t="s">
        <v>480</v>
      </c>
      <c r="E196" s="38"/>
      <c r="F196" s="37" t="s">
        <v>362</v>
      </c>
      <c r="G196" s="37" t="s">
        <v>464</v>
      </c>
      <c r="H196" s="37"/>
      <c r="I196" s="37"/>
      <c r="J196" s="37"/>
      <c r="K196" s="37" t="s">
        <v>365</v>
      </c>
      <c r="L196" s="37"/>
      <c r="M196" s="37" t="s">
        <v>212</v>
      </c>
      <c r="N196" s="37" t="s">
        <v>224</v>
      </c>
      <c r="O196" s="37"/>
      <c r="P196" s="21" t="s">
        <v>1806</v>
      </c>
      <c r="Q196" s="37" t="s">
        <v>482</v>
      </c>
    </row>
    <row r="197" spans="1:17" ht="25">
      <c r="A197" s="37" t="s">
        <v>956</v>
      </c>
      <c r="B197" s="37" t="s">
        <v>285</v>
      </c>
      <c r="C197" s="37" t="s">
        <v>396</v>
      </c>
      <c r="D197" s="37" t="s">
        <v>360</v>
      </c>
      <c r="E197" s="38" t="s">
        <v>957</v>
      </c>
      <c r="F197" s="37" t="s">
        <v>362</v>
      </c>
      <c r="G197" s="37"/>
      <c r="H197" s="37" t="s">
        <v>958</v>
      </c>
      <c r="I197" s="37">
        <v>18</v>
      </c>
      <c r="J197" s="37" t="s">
        <v>959</v>
      </c>
      <c r="K197" s="37" t="s">
        <v>365</v>
      </c>
      <c r="L197" s="37" t="s">
        <v>366</v>
      </c>
      <c r="M197" s="37" t="s">
        <v>211</v>
      </c>
      <c r="N197" s="37" t="s">
        <v>224</v>
      </c>
      <c r="O197" s="37"/>
      <c r="P197" s="21" t="s">
        <v>1806</v>
      </c>
      <c r="Q197" s="37" t="s">
        <v>472</v>
      </c>
    </row>
    <row r="198" spans="1:17" ht="25">
      <c r="A198" s="37" t="s">
        <v>960</v>
      </c>
      <c r="B198" s="37" t="s">
        <v>285</v>
      </c>
      <c r="C198" s="37" t="s">
        <v>550</v>
      </c>
      <c r="D198" s="37" t="s">
        <v>360</v>
      </c>
      <c r="E198" s="38" t="s">
        <v>961</v>
      </c>
      <c r="F198" s="37" t="s">
        <v>362</v>
      </c>
      <c r="G198" s="37"/>
      <c r="H198" s="37" t="s">
        <v>962</v>
      </c>
      <c r="I198" s="37">
        <v>18</v>
      </c>
      <c r="J198" s="37" t="s">
        <v>963</v>
      </c>
      <c r="K198" s="37" t="s">
        <v>365</v>
      </c>
      <c r="L198" s="37" t="s">
        <v>366</v>
      </c>
      <c r="M198" s="37" t="s">
        <v>211</v>
      </c>
      <c r="N198" s="37" t="s">
        <v>224</v>
      </c>
      <c r="O198" s="37"/>
      <c r="P198" s="21" t="s">
        <v>1806</v>
      </c>
      <c r="Q198" s="37" t="s">
        <v>472</v>
      </c>
    </row>
    <row r="199" spans="1:17" ht="25">
      <c r="A199" s="37" t="s">
        <v>964</v>
      </c>
      <c r="B199" s="37" t="s">
        <v>285</v>
      </c>
      <c r="C199" s="37" t="s">
        <v>553</v>
      </c>
      <c r="D199" s="37" t="s">
        <v>360</v>
      </c>
      <c r="E199" s="38">
        <v>12.8</v>
      </c>
      <c r="F199" s="37" t="s">
        <v>451</v>
      </c>
      <c r="G199" s="37" t="s">
        <v>554</v>
      </c>
      <c r="H199" s="37" t="s">
        <v>965</v>
      </c>
      <c r="I199" s="37">
        <v>18</v>
      </c>
      <c r="J199" s="37" t="s">
        <v>966</v>
      </c>
      <c r="K199" s="37" t="s">
        <v>365</v>
      </c>
      <c r="L199" s="37" t="s">
        <v>366</v>
      </c>
      <c r="M199" s="37" t="s">
        <v>211</v>
      </c>
      <c r="N199" s="37" t="s">
        <v>224</v>
      </c>
      <c r="O199" s="37"/>
      <c r="P199" s="21" t="s">
        <v>1806</v>
      </c>
      <c r="Q199" s="37" t="s">
        <v>472</v>
      </c>
    </row>
    <row r="200" spans="1:17" ht="25">
      <c r="A200" s="37" t="s">
        <v>967</v>
      </c>
      <c r="B200" s="37" t="s">
        <v>285</v>
      </c>
      <c r="C200" s="37" t="s">
        <v>558</v>
      </c>
      <c r="D200" s="37" t="s">
        <v>360</v>
      </c>
      <c r="E200" s="38">
        <v>9.5</v>
      </c>
      <c r="F200" s="37" t="s">
        <v>451</v>
      </c>
      <c r="G200" s="37" t="s">
        <v>559</v>
      </c>
      <c r="H200" s="37" t="s">
        <v>968</v>
      </c>
      <c r="I200" s="37">
        <v>18</v>
      </c>
      <c r="J200" s="37" t="s">
        <v>969</v>
      </c>
      <c r="K200" s="37" t="s">
        <v>365</v>
      </c>
      <c r="L200" s="37" t="s">
        <v>366</v>
      </c>
      <c r="M200" s="37" t="s">
        <v>211</v>
      </c>
      <c r="N200" s="37" t="s">
        <v>224</v>
      </c>
      <c r="O200" s="37"/>
      <c r="P200" s="21" t="s">
        <v>1806</v>
      </c>
      <c r="Q200" s="37" t="s">
        <v>472</v>
      </c>
    </row>
    <row r="201" spans="1:17" ht="25">
      <c r="A201" s="37" t="s">
        <v>970</v>
      </c>
      <c r="B201" s="37" t="s">
        <v>285</v>
      </c>
      <c r="C201" s="37" t="s">
        <v>564</v>
      </c>
      <c r="D201" s="37" t="s">
        <v>386</v>
      </c>
      <c r="E201" s="38"/>
      <c r="F201" s="37" t="s">
        <v>362</v>
      </c>
      <c r="G201" s="37"/>
      <c r="H201" s="37" t="s">
        <v>971</v>
      </c>
      <c r="I201" s="37"/>
      <c r="J201" s="37"/>
      <c r="K201" s="37" t="s">
        <v>365</v>
      </c>
      <c r="L201" s="37"/>
      <c r="M201" s="37" t="s">
        <v>211</v>
      </c>
      <c r="N201" s="37" t="s">
        <v>224</v>
      </c>
      <c r="O201" s="37"/>
      <c r="P201" s="21" t="s">
        <v>1806</v>
      </c>
      <c r="Q201" s="37" t="s">
        <v>482</v>
      </c>
    </row>
    <row r="202" spans="1:17" ht="25">
      <c r="A202" s="37" t="s">
        <v>972</v>
      </c>
      <c r="B202" s="37" t="s">
        <v>285</v>
      </c>
      <c r="C202" s="37" t="s">
        <v>567</v>
      </c>
      <c r="D202" s="37" t="s">
        <v>386</v>
      </c>
      <c r="E202" s="38"/>
      <c r="F202" s="37" t="s">
        <v>370</v>
      </c>
      <c r="G202" s="37"/>
      <c r="H202" s="37" t="s">
        <v>971</v>
      </c>
      <c r="I202" s="37"/>
      <c r="J202" s="37"/>
      <c r="K202" s="37" t="s">
        <v>365</v>
      </c>
      <c r="L202" s="37"/>
      <c r="M202" s="37" t="s">
        <v>211</v>
      </c>
      <c r="N202" s="37" t="s">
        <v>224</v>
      </c>
      <c r="O202" s="37"/>
      <c r="P202" s="21" t="s">
        <v>1806</v>
      </c>
      <c r="Q202" s="37" t="s">
        <v>482</v>
      </c>
    </row>
    <row r="203" spans="1:17" ht="25">
      <c r="A203" s="37" t="s">
        <v>973</v>
      </c>
      <c r="B203" s="37" t="s">
        <v>285</v>
      </c>
      <c r="C203" s="37" t="s">
        <v>569</v>
      </c>
      <c r="D203" s="37" t="s">
        <v>386</v>
      </c>
      <c r="E203" s="38"/>
      <c r="F203" s="37" t="s">
        <v>451</v>
      </c>
      <c r="G203" s="37" t="s">
        <v>452</v>
      </c>
      <c r="H203" s="37" t="s">
        <v>971</v>
      </c>
      <c r="I203" s="37"/>
      <c r="J203" s="37"/>
      <c r="K203" s="37" t="s">
        <v>365</v>
      </c>
      <c r="L203" s="37"/>
      <c r="M203" s="37" t="s">
        <v>211</v>
      </c>
      <c r="N203" s="37" t="s">
        <v>224</v>
      </c>
      <c r="O203" s="37"/>
      <c r="P203" s="21" t="s">
        <v>1806</v>
      </c>
      <c r="Q203" s="37" t="s">
        <v>482</v>
      </c>
    </row>
    <row r="204" spans="1:17" ht="25">
      <c r="A204" s="37" t="s">
        <v>974</v>
      </c>
      <c r="B204" s="37" t="s">
        <v>285</v>
      </c>
      <c r="C204" s="37" t="s">
        <v>762</v>
      </c>
      <c r="D204" s="37" t="s">
        <v>360</v>
      </c>
      <c r="E204" s="38" t="s">
        <v>975</v>
      </c>
      <c r="F204" s="37" t="s">
        <v>362</v>
      </c>
      <c r="G204" s="37"/>
      <c r="H204" s="37" t="s">
        <v>976</v>
      </c>
      <c r="I204" s="37">
        <v>18</v>
      </c>
      <c r="J204" s="37" t="s">
        <v>977</v>
      </c>
      <c r="K204" s="37" t="s">
        <v>365</v>
      </c>
      <c r="L204" s="37" t="s">
        <v>366</v>
      </c>
      <c r="M204" s="37" t="s">
        <v>212</v>
      </c>
      <c r="N204" s="37" t="s">
        <v>224</v>
      </c>
      <c r="O204" s="37"/>
      <c r="P204" s="21" t="s">
        <v>1806</v>
      </c>
      <c r="Q204" s="37" t="s">
        <v>472</v>
      </c>
    </row>
    <row r="205" spans="1:17" ht="25">
      <c r="A205" s="37" t="s">
        <v>978</v>
      </c>
      <c r="B205" s="37" t="s">
        <v>285</v>
      </c>
      <c r="C205" s="37" t="s">
        <v>767</v>
      </c>
      <c r="D205" s="37" t="s">
        <v>360</v>
      </c>
      <c r="E205" s="38">
        <v>512</v>
      </c>
      <c r="F205" s="37" t="s">
        <v>370</v>
      </c>
      <c r="G205" s="37"/>
      <c r="H205" s="37" t="s">
        <v>979</v>
      </c>
      <c r="I205" s="37">
        <v>3</v>
      </c>
      <c r="J205" s="37" t="s">
        <v>980</v>
      </c>
      <c r="K205" s="37" t="s">
        <v>365</v>
      </c>
      <c r="L205" s="37" t="s">
        <v>366</v>
      </c>
      <c r="M205" s="37" t="s">
        <v>212</v>
      </c>
      <c r="N205" s="37" t="s">
        <v>224</v>
      </c>
      <c r="O205" s="37"/>
      <c r="P205" s="21" t="s">
        <v>1806</v>
      </c>
      <c r="Q205" s="37" t="s">
        <v>472</v>
      </c>
    </row>
    <row r="206" spans="1:17" ht="25">
      <c r="A206" s="37" t="s">
        <v>981</v>
      </c>
      <c r="B206" s="37" t="s">
        <v>285</v>
      </c>
      <c r="C206" s="37" t="s">
        <v>769</v>
      </c>
      <c r="D206" s="37" t="s">
        <v>360</v>
      </c>
      <c r="E206" s="38" t="s">
        <v>982</v>
      </c>
      <c r="F206" s="37" t="s">
        <v>362</v>
      </c>
      <c r="G206" s="37"/>
      <c r="H206" s="37" t="s">
        <v>983</v>
      </c>
      <c r="I206" s="37">
        <v>3</v>
      </c>
      <c r="J206" s="37" t="s">
        <v>984</v>
      </c>
      <c r="K206" s="37" t="s">
        <v>365</v>
      </c>
      <c r="L206" s="37" t="s">
        <v>366</v>
      </c>
      <c r="M206" s="37" t="s">
        <v>212</v>
      </c>
      <c r="N206" s="37" t="s">
        <v>224</v>
      </c>
      <c r="O206" s="37"/>
      <c r="P206" s="21" t="s">
        <v>1806</v>
      </c>
      <c r="Q206" s="37" t="s">
        <v>472</v>
      </c>
    </row>
    <row r="207" spans="1:17" ht="25">
      <c r="A207" s="37" t="s">
        <v>985</v>
      </c>
      <c r="B207" s="37" t="s">
        <v>285</v>
      </c>
      <c r="C207" s="37" t="s">
        <v>772</v>
      </c>
      <c r="D207" s="37" t="s">
        <v>360</v>
      </c>
      <c r="E207" s="38" t="s">
        <v>986</v>
      </c>
      <c r="F207" s="37" t="s">
        <v>362</v>
      </c>
      <c r="G207" s="37"/>
      <c r="H207" s="37" t="s">
        <v>987</v>
      </c>
      <c r="I207" s="37">
        <v>4</v>
      </c>
      <c r="J207" s="37" t="s">
        <v>988</v>
      </c>
      <c r="K207" s="37" t="s">
        <v>365</v>
      </c>
      <c r="L207" s="37" t="s">
        <v>366</v>
      </c>
      <c r="M207" s="37" t="s">
        <v>212</v>
      </c>
      <c r="N207" s="37" t="s">
        <v>224</v>
      </c>
      <c r="O207" s="37"/>
      <c r="P207" s="21" t="s">
        <v>1806</v>
      </c>
      <c r="Q207" s="37" t="s">
        <v>472</v>
      </c>
    </row>
    <row r="208" spans="1:17" ht="37.5">
      <c r="A208" s="37" t="s">
        <v>989</v>
      </c>
      <c r="B208" s="37" t="s">
        <v>285</v>
      </c>
      <c r="C208" s="37" t="s">
        <v>777</v>
      </c>
      <c r="D208" s="37" t="s">
        <v>360</v>
      </c>
      <c r="E208" s="38" t="s">
        <v>990</v>
      </c>
      <c r="F208" s="37" t="s">
        <v>362</v>
      </c>
      <c r="G208" s="37"/>
      <c r="H208" s="37" t="s">
        <v>990</v>
      </c>
      <c r="I208" s="37">
        <v>6</v>
      </c>
      <c r="J208" s="37" t="s">
        <v>991</v>
      </c>
      <c r="K208" s="37" t="s">
        <v>365</v>
      </c>
      <c r="L208" s="37" t="s">
        <v>366</v>
      </c>
      <c r="M208" s="37" t="s">
        <v>212</v>
      </c>
      <c r="N208" s="37" t="s">
        <v>224</v>
      </c>
      <c r="O208" s="37"/>
      <c r="P208" s="21" t="s">
        <v>1806</v>
      </c>
      <c r="Q208" s="37" t="s">
        <v>472</v>
      </c>
    </row>
    <row r="209" spans="1:17" ht="25">
      <c r="A209" s="37" t="s">
        <v>992</v>
      </c>
      <c r="B209" s="37" t="s">
        <v>285</v>
      </c>
      <c r="C209" s="37" t="s">
        <v>779</v>
      </c>
      <c r="D209" s="37" t="s">
        <v>360</v>
      </c>
      <c r="E209" s="38" t="s">
        <v>993</v>
      </c>
      <c r="F209" s="37" t="s">
        <v>362</v>
      </c>
      <c r="G209" s="37"/>
      <c r="H209" s="37" t="s">
        <v>994</v>
      </c>
      <c r="I209" s="37">
        <v>1</v>
      </c>
      <c r="J209" s="37" t="s">
        <v>995</v>
      </c>
      <c r="K209" s="37" t="s">
        <v>365</v>
      </c>
      <c r="L209" s="37" t="s">
        <v>366</v>
      </c>
      <c r="M209" s="37" t="s">
        <v>212</v>
      </c>
      <c r="N209" s="37" t="s">
        <v>224</v>
      </c>
      <c r="O209" s="37"/>
      <c r="P209" s="21" t="s">
        <v>1806</v>
      </c>
      <c r="Q209" s="37" t="s">
        <v>472</v>
      </c>
    </row>
    <row r="210" spans="1:17" ht="87.5">
      <c r="A210" s="37" t="s">
        <v>996</v>
      </c>
      <c r="B210" s="37" t="s">
        <v>285</v>
      </c>
      <c r="C210" s="37" t="s">
        <v>583</v>
      </c>
      <c r="D210" s="37" t="s">
        <v>480</v>
      </c>
      <c r="E210" s="38"/>
      <c r="F210" s="37" t="s">
        <v>441</v>
      </c>
      <c r="G210" s="37"/>
      <c r="H210" s="37"/>
      <c r="I210" s="37">
        <v>1</v>
      </c>
      <c r="J210" s="37" t="s">
        <v>997</v>
      </c>
      <c r="K210" s="37" t="s">
        <v>365</v>
      </c>
      <c r="L210" s="37" t="s">
        <v>366</v>
      </c>
      <c r="M210" s="37" t="s">
        <v>212</v>
      </c>
      <c r="N210" s="37" t="s">
        <v>224</v>
      </c>
      <c r="O210" s="37"/>
      <c r="P210" s="21" t="s">
        <v>1806</v>
      </c>
      <c r="Q210" s="37" t="s">
        <v>472</v>
      </c>
    </row>
    <row r="211" spans="1:17" ht="50">
      <c r="A211" s="37" t="s">
        <v>998</v>
      </c>
      <c r="B211" s="37" t="s">
        <v>285</v>
      </c>
      <c r="C211" s="37" t="s">
        <v>450</v>
      </c>
      <c r="D211" s="37" t="s">
        <v>480</v>
      </c>
      <c r="E211" s="38"/>
      <c r="F211" s="37" t="s">
        <v>451</v>
      </c>
      <c r="G211" s="37" t="s">
        <v>452</v>
      </c>
      <c r="H211" s="37"/>
      <c r="I211" s="37">
        <v>7</v>
      </c>
      <c r="J211" s="37" t="s">
        <v>999</v>
      </c>
      <c r="K211" s="37" t="s">
        <v>365</v>
      </c>
      <c r="L211" s="37" t="s">
        <v>366</v>
      </c>
      <c r="M211" s="37" t="s">
        <v>212</v>
      </c>
      <c r="N211" s="37" t="s">
        <v>224</v>
      </c>
      <c r="O211" s="37"/>
      <c r="P211" s="21" t="s">
        <v>1806</v>
      </c>
      <c r="Q211" s="37" t="s">
        <v>472</v>
      </c>
    </row>
    <row r="212" spans="1:17" ht="25">
      <c r="A212" s="37" t="s">
        <v>1000</v>
      </c>
      <c r="B212" s="37" t="s">
        <v>285</v>
      </c>
      <c r="C212" s="37" t="s">
        <v>456</v>
      </c>
      <c r="D212" s="37" t="s">
        <v>480</v>
      </c>
      <c r="E212" s="38"/>
      <c r="F212" s="37" t="s">
        <v>362</v>
      </c>
      <c r="G212" s="37" t="s">
        <v>458</v>
      </c>
      <c r="H212" s="37"/>
      <c r="I212" s="37">
        <v>7</v>
      </c>
      <c r="J212" s="37" t="s">
        <v>1001</v>
      </c>
      <c r="K212" s="37" t="s">
        <v>365</v>
      </c>
      <c r="L212" s="37" t="s">
        <v>366</v>
      </c>
      <c r="M212" s="37" t="s">
        <v>212</v>
      </c>
      <c r="N212" s="37" t="s">
        <v>224</v>
      </c>
      <c r="O212" s="37"/>
      <c r="P212" s="21" t="s">
        <v>1806</v>
      </c>
      <c r="Q212" s="37" t="s">
        <v>472</v>
      </c>
    </row>
    <row r="213" spans="1:17" ht="50">
      <c r="A213" s="37" t="s">
        <v>1002</v>
      </c>
      <c r="B213" s="37" t="s">
        <v>285</v>
      </c>
      <c r="C213" s="37" t="s">
        <v>462</v>
      </c>
      <c r="D213" s="37" t="s">
        <v>480</v>
      </c>
      <c r="E213" s="38"/>
      <c r="F213" s="37" t="s">
        <v>362</v>
      </c>
      <c r="G213" s="37" t="s">
        <v>464</v>
      </c>
      <c r="H213" s="37"/>
      <c r="I213" s="37">
        <v>30</v>
      </c>
      <c r="J213" s="37" t="s">
        <v>1003</v>
      </c>
      <c r="K213" s="37" t="s">
        <v>365</v>
      </c>
      <c r="L213" s="37" t="s">
        <v>366</v>
      </c>
      <c r="M213" s="37" t="s">
        <v>212</v>
      </c>
      <c r="N213" s="37" t="s">
        <v>224</v>
      </c>
      <c r="O213" s="37"/>
      <c r="P213" s="21" t="s">
        <v>1806</v>
      </c>
      <c r="Q213" s="37" t="s">
        <v>472</v>
      </c>
    </row>
    <row r="214" spans="1:17" ht="25">
      <c r="A214" s="37" t="s">
        <v>1004</v>
      </c>
      <c r="B214" s="37" t="s">
        <v>290</v>
      </c>
      <c r="C214" s="37" t="s">
        <v>396</v>
      </c>
      <c r="D214" s="37" t="s">
        <v>360</v>
      </c>
      <c r="E214" s="38" t="s">
        <v>1005</v>
      </c>
      <c r="F214" s="37" t="s">
        <v>362</v>
      </c>
      <c r="G214" s="37"/>
      <c r="H214" s="37" t="s">
        <v>1006</v>
      </c>
      <c r="I214" s="37">
        <v>3</v>
      </c>
      <c r="J214" s="37" t="s">
        <v>1007</v>
      </c>
      <c r="K214" s="37" t="s">
        <v>365</v>
      </c>
      <c r="L214" s="37" t="s">
        <v>366</v>
      </c>
      <c r="M214" s="37" t="s">
        <v>211</v>
      </c>
      <c r="N214" s="37" t="s">
        <v>224</v>
      </c>
      <c r="O214" s="37"/>
      <c r="P214" s="21" t="s">
        <v>1806</v>
      </c>
      <c r="Q214" s="37" t="s">
        <v>472</v>
      </c>
    </row>
    <row r="215" spans="1:17" ht="25">
      <c r="A215" s="37" t="s">
        <v>1008</v>
      </c>
      <c r="B215" s="37" t="s">
        <v>290</v>
      </c>
      <c r="C215" s="37" t="s">
        <v>550</v>
      </c>
      <c r="D215" s="37" t="s">
        <v>360</v>
      </c>
      <c r="E215" s="38" t="s">
        <v>1009</v>
      </c>
      <c r="F215" s="37" t="s">
        <v>362</v>
      </c>
      <c r="G215" s="37"/>
      <c r="H215" s="37" t="s">
        <v>1010</v>
      </c>
      <c r="I215" s="37">
        <v>3</v>
      </c>
      <c r="J215" s="37" t="s">
        <v>1011</v>
      </c>
      <c r="K215" s="37" t="s">
        <v>365</v>
      </c>
      <c r="L215" s="37" t="s">
        <v>366</v>
      </c>
      <c r="M215" s="37" t="s">
        <v>211</v>
      </c>
      <c r="N215" s="37" t="s">
        <v>224</v>
      </c>
      <c r="O215" s="37"/>
      <c r="P215" s="21" t="s">
        <v>1806</v>
      </c>
      <c r="Q215" s="37" t="s">
        <v>472</v>
      </c>
    </row>
    <row r="216" spans="1:17" ht="25">
      <c r="A216" s="37" t="s">
        <v>1012</v>
      </c>
      <c r="B216" s="37" t="s">
        <v>290</v>
      </c>
      <c r="C216" s="37" t="s">
        <v>553</v>
      </c>
      <c r="D216" s="37" t="s">
        <v>360</v>
      </c>
      <c r="E216" s="38">
        <v>128</v>
      </c>
      <c r="F216" s="37" t="s">
        <v>451</v>
      </c>
      <c r="G216" s="37" t="s">
        <v>554</v>
      </c>
      <c r="H216" s="37" t="s">
        <v>1013</v>
      </c>
      <c r="I216" s="37">
        <v>3</v>
      </c>
      <c r="J216" s="37" t="s">
        <v>1014</v>
      </c>
      <c r="K216" s="37" t="s">
        <v>365</v>
      </c>
      <c r="L216" s="37" t="s">
        <v>366</v>
      </c>
      <c r="M216" s="37" t="s">
        <v>211</v>
      </c>
      <c r="N216" s="37" t="s">
        <v>224</v>
      </c>
      <c r="O216" s="37"/>
      <c r="P216" s="21" t="s">
        <v>1806</v>
      </c>
      <c r="Q216" s="37" t="s">
        <v>472</v>
      </c>
    </row>
    <row r="217" spans="1:17" ht="25">
      <c r="A217" s="37" t="s">
        <v>1015</v>
      </c>
      <c r="B217" s="37" t="s">
        <v>290</v>
      </c>
      <c r="C217" s="37" t="s">
        <v>558</v>
      </c>
      <c r="D217" s="37" t="s">
        <v>360</v>
      </c>
      <c r="E217" s="38">
        <v>96</v>
      </c>
      <c r="F217" s="37" t="s">
        <v>451</v>
      </c>
      <c r="G217" s="37" t="s">
        <v>559</v>
      </c>
      <c r="H217" s="37" t="s">
        <v>1016</v>
      </c>
      <c r="I217" s="37">
        <v>3</v>
      </c>
      <c r="J217" s="37" t="s">
        <v>1017</v>
      </c>
      <c r="K217" s="37" t="s">
        <v>365</v>
      </c>
      <c r="L217" s="37" t="s">
        <v>366</v>
      </c>
      <c r="M217" s="37" t="s">
        <v>211</v>
      </c>
      <c r="N217" s="37" t="s">
        <v>224</v>
      </c>
      <c r="O217" s="37"/>
      <c r="P217" s="21" t="s">
        <v>1806</v>
      </c>
      <c r="Q217" s="37" t="s">
        <v>472</v>
      </c>
    </row>
    <row r="218" spans="1:17" ht="25">
      <c r="A218" s="37" t="s">
        <v>1018</v>
      </c>
      <c r="B218" s="37" t="s">
        <v>290</v>
      </c>
      <c r="C218" s="37" t="s">
        <v>564</v>
      </c>
      <c r="D218" s="37" t="s">
        <v>386</v>
      </c>
      <c r="E218" s="38"/>
      <c r="F218" s="37" t="s">
        <v>362</v>
      </c>
      <c r="G218" s="37"/>
      <c r="H218" s="37" t="s">
        <v>971</v>
      </c>
      <c r="I218" s="37"/>
      <c r="J218" s="37"/>
      <c r="K218" s="37" t="s">
        <v>365</v>
      </c>
      <c r="L218" s="37"/>
      <c r="M218" s="37" t="s">
        <v>211</v>
      </c>
      <c r="N218" s="37" t="s">
        <v>224</v>
      </c>
      <c r="O218" s="37"/>
      <c r="P218" s="21" t="s">
        <v>1806</v>
      </c>
      <c r="Q218" s="37" t="s">
        <v>482</v>
      </c>
    </row>
    <row r="219" spans="1:17" ht="25">
      <c r="A219" s="37" t="s">
        <v>1019</v>
      </c>
      <c r="B219" s="37" t="s">
        <v>290</v>
      </c>
      <c r="C219" s="37" t="s">
        <v>567</v>
      </c>
      <c r="D219" s="37" t="s">
        <v>386</v>
      </c>
      <c r="E219" s="38"/>
      <c r="F219" s="37" t="s">
        <v>370</v>
      </c>
      <c r="G219" s="37"/>
      <c r="H219" s="37" t="s">
        <v>971</v>
      </c>
      <c r="I219" s="37"/>
      <c r="J219" s="37"/>
      <c r="K219" s="37" t="s">
        <v>365</v>
      </c>
      <c r="L219" s="37"/>
      <c r="M219" s="37" t="s">
        <v>211</v>
      </c>
      <c r="N219" s="37" t="s">
        <v>224</v>
      </c>
      <c r="O219" s="37"/>
      <c r="P219" s="21" t="s">
        <v>1806</v>
      </c>
      <c r="Q219" s="37" t="s">
        <v>482</v>
      </c>
    </row>
    <row r="220" spans="1:17" ht="25">
      <c r="A220" s="37" t="s">
        <v>1020</v>
      </c>
      <c r="B220" s="37" t="s">
        <v>290</v>
      </c>
      <c r="C220" s="37" t="s">
        <v>569</v>
      </c>
      <c r="D220" s="37" t="s">
        <v>386</v>
      </c>
      <c r="E220" s="38"/>
      <c r="F220" s="37" t="s">
        <v>451</v>
      </c>
      <c r="G220" s="37" t="s">
        <v>452</v>
      </c>
      <c r="H220" s="37" t="s">
        <v>971</v>
      </c>
      <c r="I220" s="37"/>
      <c r="J220" s="37"/>
      <c r="K220" s="37" t="s">
        <v>365</v>
      </c>
      <c r="L220" s="37"/>
      <c r="M220" s="37" t="s">
        <v>211</v>
      </c>
      <c r="N220" s="37" t="s">
        <v>224</v>
      </c>
      <c r="O220" s="37"/>
      <c r="P220" s="21" t="s">
        <v>1806</v>
      </c>
      <c r="Q220" s="37" t="s">
        <v>482</v>
      </c>
    </row>
    <row r="221" spans="1:17" ht="87.5">
      <c r="A221" s="37" t="s">
        <v>1021</v>
      </c>
      <c r="B221" s="37" t="s">
        <v>290</v>
      </c>
      <c r="C221" s="37" t="s">
        <v>769</v>
      </c>
      <c r="D221" s="37" t="s">
        <v>480</v>
      </c>
      <c r="E221" s="38"/>
      <c r="F221" s="37" t="s">
        <v>362</v>
      </c>
      <c r="G221" s="37"/>
      <c r="H221" s="37"/>
      <c r="I221" s="37">
        <v>2</v>
      </c>
      <c r="J221" s="37" t="s">
        <v>1022</v>
      </c>
      <c r="K221" s="37" t="s">
        <v>365</v>
      </c>
      <c r="L221" s="37" t="s">
        <v>366</v>
      </c>
      <c r="M221" s="37" t="s">
        <v>212</v>
      </c>
      <c r="N221" s="37" t="s">
        <v>224</v>
      </c>
      <c r="O221" s="37"/>
      <c r="P221" s="21" t="s">
        <v>1806</v>
      </c>
      <c r="Q221" s="37" t="s">
        <v>472</v>
      </c>
    </row>
    <row r="222" spans="1:17" ht="25">
      <c r="A222" s="37" t="s">
        <v>1023</v>
      </c>
      <c r="B222" s="37" t="s">
        <v>290</v>
      </c>
      <c r="C222" s="37" t="s">
        <v>857</v>
      </c>
      <c r="D222" s="37" t="s">
        <v>360</v>
      </c>
      <c r="E222" s="38" t="s">
        <v>1024</v>
      </c>
      <c r="F222" s="37" t="s">
        <v>362</v>
      </c>
      <c r="G222" s="37"/>
      <c r="H222" s="37" t="s">
        <v>1025</v>
      </c>
      <c r="I222" s="37">
        <v>8</v>
      </c>
      <c r="J222" s="37" t="s">
        <v>1026</v>
      </c>
      <c r="K222" s="37" t="s">
        <v>365</v>
      </c>
      <c r="L222" s="37" t="s">
        <v>366</v>
      </c>
      <c r="M222" s="37" t="s">
        <v>212</v>
      </c>
      <c r="N222" s="37" t="s">
        <v>224</v>
      </c>
      <c r="O222" s="37"/>
      <c r="P222" s="21" t="s">
        <v>1806</v>
      </c>
      <c r="Q222" s="37" t="s">
        <v>472</v>
      </c>
    </row>
    <row r="223" spans="1:17" ht="25">
      <c r="A223" s="37" t="s">
        <v>1027</v>
      </c>
      <c r="B223" s="37" t="s">
        <v>290</v>
      </c>
      <c r="C223" s="37" t="s">
        <v>862</v>
      </c>
      <c r="D223" s="37" t="s">
        <v>480</v>
      </c>
      <c r="E223" s="38"/>
      <c r="F223" s="37" t="s">
        <v>362</v>
      </c>
      <c r="G223" s="37"/>
      <c r="H223" s="37"/>
      <c r="I223" s="37"/>
      <c r="J223" s="37"/>
      <c r="K223" s="37" t="s">
        <v>365</v>
      </c>
      <c r="L223" s="37"/>
      <c r="M223" s="37" t="s">
        <v>212</v>
      </c>
      <c r="N223" s="37" t="s">
        <v>224</v>
      </c>
      <c r="O223" s="37"/>
      <c r="P223" s="21" t="s">
        <v>1806</v>
      </c>
      <c r="Q223" s="37" t="s">
        <v>482</v>
      </c>
    </row>
    <row r="224" spans="1:17" ht="25">
      <c r="A224" s="37" t="s">
        <v>1028</v>
      </c>
      <c r="B224" s="37" t="s">
        <v>290</v>
      </c>
      <c r="C224" s="37" t="s">
        <v>867</v>
      </c>
      <c r="D224" s="37" t="s">
        <v>480</v>
      </c>
      <c r="E224" s="38"/>
      <c r="F224" s="37" t="s">
        <v>362</v>
      </c>
      <c r="G224" s="37"/>
      <c r="H224" s="37"/>
      <c r="I224" s="37"/>
      <c r="J224" s="37"/>
      <c r="K224" s="37" t="s">
        <v>365</v>
      </c>
      <c r="L224" s="37"/>
      <c r="M224" s="37" t="s">
        <v>212</v>
      </c>
      <c r="N224" s="37" t="s">
        <v>224</v>
      </c>
      <c r="O224" s="37"/>
      <c r="P224" s="21" t="s">
        <v>1806</v>
      </c>
      <c r="Q224" s="37" t="s">
        <v>482</v>
      </c>
    </row>
    <row r="225" spans="1:17" ht="25">
      <c r="A225" s="37" t="s">
        <v>1029</v>
      </c>
      <c r="B225" s="37" t="s">
        <v>290</v>
      </c>
      <c r="C225" s="37" t="s">
        <v>918</v>
      </c>
      <c r="D225" s="37" t="s">
        <v>360</v>
      </c>
      <c r="E225" s="38" t="s">
        <v>440</v>
      </c>
      <c r="F225" s="37" t="s">
        <v>441</v>
      </c>
      <c r="G225" s="37"/>
      <c r="H225" s="37" t="s">
        <v>1030</v>
      </c>
      <c r="I225" s="37">
        <v>8</v>
      </c>
      <c r="J225" s="37" t="s">
        <v>1031</v>
      </c>
      <c r="K225" s="37" t="s">
        <v>365</v>
      </c>
      <c r="L225" s="37" t="s">
        <v>366</v>
      </c>
      <c r="M225" s="37" t="s">
        <v>212</v>
      </c>
      <c r="N225" s="37" t="s">
        <v>224</v>
      </c>
      <c r="O225" s="37"/>
      <c r="P225" s="21" t="s">
        <v>1806</v>
      </c>
      <c r="Q225" s="37" t="s">
        <v>472</v>
      </c>
    </row>
    <row r="226" spans="1:17" ht="37.5">
      <c r="A226" s="37" t="s">
        <v>1032</v>
      </c>
      <c r="B226" s="37" t="s">
        <v>290</v>
      </c>
      <c r="C226" s="37" t="s">
        <v>920</v>
      </c>
      <c r="D226" s="37" t="s">
        <v>360</v>
      </c>
      <c r="E226" s="38" t="s">
        <v>440</v>
      </c>
      <c r="F226" s="37" t="s">
        <v>441</v>
      </c>
      <c r="G226" s="37"/>
      <c r="H226" s="37" t="s">
        <v>990</v>
      </c>
      <c r="I226" s="37">
        <v>8</v>
      </c>
      <c r="J226" s="37" t="s">
        <v>1033</v>
      </c>
      <c r="K226" s="37" t="s">
        <v>365</v>
      </c>
      <c r="L226" s="37" t="s">
        <v>366</v>
      </c>
      <c r="M226" s="37" t="s">
        <v>212</v>
      </c>
      <c r="N226" s="37" t="s">
        <v>224</v>
      </c>
      <c r="O226" s="37"/>
      <c r="P226" s="21" t="s">
        <v>1806</v>
      </c>
      <c r="Q226" s="37" t="s">
        <v>472</v>
      </c>
    </row>
    <row r="227" spans="1:17" ht="25">
      <c r="A227" s="37" t="s">
        <v>1034</v>
      </c>
      <c r="B227" s="37" t="s">
        <v>290</v>
      </c>
      <c r="C227" s="37" t="s">
        <v>923</v>
      </c>
      <c r="D227" s="37" t="s">
        <v>360</v>
      </c>
      <c r="E227" s="38" t="s">
        <v>440</v>
      </c>
      <c r="F227" s="37" t="s">
        <v>441</v>
      </c>
      <c r="G227" s="37"/>
      <c r="H227" s="37" t="s">
        <v>1035</v>
      </c>
      <c r="I227" s="37">
        <v>8</v>
      </c>
      <c r="J227" s="37" t="s">
        <v>1036</v>
      </c>
      <c r="K227" s="37" t="s">
        <v>365</v>
      </c>
      <c r="L227" s="37" t="s">
        <v>366</v>
      </c>
      <c r="M227" s="37" t="s">
        <v>212</v>
      </c>
      <c r="N227" s="37" t="s">
        <v>224</v>
      </c>
      <c r="O227" s="37"/>
      <c r="P227" s="21" t="s">
        <v>1806</v>
      </c>
      <c r="Q227" s="37" t="s">
        <v>472</v>
      </c>
    </row>
    <row r="228" spans="1:17" ht="25">
      <c r="A228" s="37" t="s">
        <v>1037</v>
      </c>
      <c r="B228" s="37" t="s">
        <v>290</v>
      </c>
      <c r="C228" s="37" t="s">
        <v>925</v>
      </c>
      <c r="D228" s="37" t="s">
        <v>360</v>
      </c>
      <c r="E228" s="38" t="s">
        <v>440</v>
      </c>
      <c r="F228" s="37" t="s">
        <v>441</v>
      </c>
      <c r="G228" s="37"/>
      <c r="H228" s="37" t="s">
        <v>1038</v>
      </c>
      <c r="I228" s="37">
        <v>8</v>
      </c>
      <c r="J228" s="37" t="s">
        <v>1039</v>
      </c>
      <c r="K228" s="37" t="s">
        <v>365</v>
      </c>
      <c r="L228" s="37" t="s">
        <v>366</v>
      </c>
      <c r="M228" s="37" t="s">
        <v>212</v>
      </c>
      <c r="N228" s="37" t="s">
        <v>224</v>
      </c>
      <c r="O228" s="37"/>
      <c r="P228" s="21" t="s">
        <v>1806</v>
      </c>
      <c r="Q228" s="37" t="s">
        <v>472</v>
      </c>
    </row>
    <row r="229" spans="1:17" ht="25">
      <c r="A229" s="37" t="s">
        <v>1040</v>
      </c>
      <c r="B229" s="37" t="s">
        <v>290</v>
      </c>
      <c r="C229" s="37" t="s">
        <v>927</v>
      </c>
      <c r="D229" s="37" t="s">
        <v>480</v>
      </c>
      <c r="E229" s="38"/>
      <c r="F229" s="37" t="s">
        <v>441</v>
      </c>
      <c r="G229" s="37"/>
      <c r="H229" s="37"/>
      <c r="I229" s="37"/>
      <c r="J229" s="37"/>
      <c r="K229" s="37" t="s">
        <v>365</v>
      </c>
      <c r="L229" s="37"/>
      <c r="M229" s="37" t="s">
        <v>212</v>
      </c>
      <c r="N229" s="37" t="s">
        <v>224</v>
      </c>
      <c r="O229" s="37"/>
      <c r="P229" s="21" t="s">
        <v>1806</v>
      </c>
      <c r="Q229" s="37" t="s">
        <v>482</v>
      </c>
    </row>
    <row r="230" spans="1:17" ht="25">
      <c r="A230" s="37" t="s">
        <v>1041</v>
      </c>
      <c r="B230" s="37" t="s">
        <v>290</v>
      </c>
      <c r="C230" s="37" t="s">
        <v>929</v>
      </c>
      <c r="D230" s="37" t="s">
        <v>360</v>
      </c>
      <c r="E230" s="38" t="s">
        <v>1042</v>
      </c>
      <c r="F230" s="37" t="s">
        <v>362</v>
      </c>
      <c r="G230" s="37"/>
      <c r="H230" s="37" t="s">
        <v>1043</v>
      </c>
      <c r="I230" s="37">
        <v>2</v>
      </c>
      <c r="J230" s="37" t="s">
        <v>1044</v>
      </c>
      <c r="K230" s="37" t="s">
        <v>365</v>
      </c>
      <c r="L230" s="37" t="s">
        <v>366</v>
      </c>
      <c r="M230" s="37" t="s">
        <v>212</v>
      </c>
      <c r="N230" s="37" t="s">
        <v>224</v>
      </c>
      <c r="O230" s="37"/>
      <c r="P230" s="21" t="s">
        <v>1806</v>
      </c>
      <c r="Q230" s="37" t="s">
        <v>472</v>
      </c>
    </row>
    <row r="231" spans="1:17" ht="25">
      <c r="A231" s="37" t="s">
        <v>1045</v>
      </c>
      <c r="B231" s="37" t="s">
        <v>290</v>
      </c>
      <c r="C231" s="37" t="s">
        <v>931</v>
      </c>
      <c r="D231" s="37" t="s">
        <v>480</v>
      </c>
      <c r="E231" s="38"/>
      <c r="F231" s="37" t="s">
        <v>451</v>
      </c>
      <c r="G231" s="37" t="s">
        <v>554</v>
      </c>
      <c r="H231" s="37"/>
      <c r="I231" s="37"/>
      <c r="J231" s="37"/>
      <c r="K231" s="37" t="s">
        <v>365</v>
      </c>
      <c r="L231" s="37"/>
      <c r="M231" s="37" t="s">
        <v>212</v>
      </c>
      <c r="N231" s="37" t="s">
        <v>224</v>
      </c>
      <c r="O231" s="37"/>
      <c r="P231" s="21" t="s">
        <v>1806</v>
      </c>
      <c r="Q231" s="37" t="s">
        <v>482</v>
      </c>
    </row>
    <row r="232" spans="1:17" ht="87.5">
      <c r="A232" s="37" t="s">
        <v>1046</v>
      </c>
      <c r="B232" s="37" t="s">
        <v>290</v>
      </c>
      <c r="C232" s="37" t="s">
        <v>779</v>
      </c>
      <c r="D232" s="37" t="s">
        <v>480</v>
      </c>
      <c r="E232" s="38"/>
      <c r="F232" s="37" t="s">
        <v>362</v>
      </c>
      <c r="G232" s="37"/>
      <c r="H232" s="37"/>
      <c r="I232" s="37">
        <v>2</v>
      </c>
      <c r="J232" s="37" t="s">
        <v>1047</v>
      </c>
      <c r="K232" s="37" t="s">
        <v>365</v>
      </c>
      <c r="L232" s="37" t="s">
        <v>366</v>
      </c>
      <c r="M232" s="37" t="s">
        <v>212</v>
      </c>
      <c r="N232" s="37" t="s">
        <v>224</v>
      </c>
      <c r="O232" s="37"/>
      <c r="P232" s="21" t="s">
        <v>1806</v>
      </c>
      <c r="Q232" s="37" t="s">
        <v>472</v>
      </c>
    </row>
    <row r="233" spans="1:17" ht="25">
      <c r="A233" s="37" t="s">
        <v>1048</v>
      </c>
      <c r="B233" s="37" t="s">
        <v>290</v>
      </c>
      <c r="C233" s="37" t="s">
        <v>450</v>
      </c>
      <c r="D233" s="37" t="s">
        <v>360</v>
      </c>
      <c r="E233" s="38">
        <v>35.04</v>
      </c>
      <c r="F233" s="37" t="s">
        <v>451</v>
      </c>
      <c r="G233" s="37" t="s">
        <v>452</v>
      </c>
      <c r="H233" s="37" t="s">
        <v>1049</v>
      </c>
      <c r="I233" s="37">
        <v>3</v>
      </c>
      <c r="J233" s="37" t="s">
        <v>1050</v>
      </c>
      <c r="K233" s="37" t="s">
        <v>365</v>
      </c>
      <c r="L233" s="37" t="s">
        <v>366</v>
      </c>
      <c r="M233" s="37" t="s">
        <v>212</v>
      </c>
      <c r="N233" s="37" t="s">
        <v>224</v>
      </c>
      <c r="O233" s="37"/>
      <c r="P233" s="21" t="s">
        <v>1806</v>
      </c>
      <c r="Q233" s="37" t="s">
        <v>472</v>
      </c>
    </row>
    <row r="234" spans="1:17" ht="25">
      <c r="A234" s="37" t="s">
        <v>1051</v>
      </c>
      <c r="B234" s="37" t="s">
        <v>290</v>
      </c>
      <c r="C234" s="37" t="s">
        <v>456</v>
      </c>
      <c r="D234" s="37" t="s">
        <v>360</v>
      </c>
      <c r="E234" s="38" t="s">
        <v>1052</v>
      </c>
      <c r="F234" s="37" t="s">
        <v>362</v>
      </c>
      <c r="G234" s="37" t="s">
        <v>458</v>
      </c>
      <c r="H234" s="37" t="s">
        <v>1052</v>
      </c>
      <c r="I234" s="37">
        <v>3</v>
      </c>
      <c r="J234" s="37" t="s">
        <v>1053</v>
      </c>
      <c r="K234" s="37" t="s">
        <v>365</v>
      </c>
      <c r="L234" s="37" t="s">
        <v>366</v>
      </c>
      <c r="M234" s="37" t="s">
        <v>212</v>
      </c>
      <c r="N234" s="37" t="s">
        <v>224</v>
      </c>
      <c r="O234" s="37"/>
      <c r="P234" s="21" t="s">
        <v>1806</v>
      </c>
      <c r="Q234" s="37" t="s">
        <v>472</v>
      </c>
    </row>
    <row r="235" spans="1:17" ht="62.5">
      <c r="A235" s="37" t="s">
        <v>1054</v>
      </c>
      <c r="B235" s="37" t="s">
        <v>290</v>
      </c>
      <c r="C235" s="37" t="s">
        <v>462</v>
      </c>
      <c r="D235" s="37" t="s">
        <v>480</v>
      </c>
      <c r="E235" s="38"/>
      <c r="F235" s="37" t="s">
        <v>362</v>
      </c>
      <c r="G235" s="37" t="s">
        <v>464</v>
      </c>
      <c r="H235" s="37"/>
      <c r="I235" s="37">
        <v>3</v>
      </c>
      <c r="J235" s="37" t="s">
        <v>1055</v>
      </c>
      <c r="K235" s="37" t="s">
        <v>365</v>
      </c>
      <c r="L235" s="37" t="s">
        <v>366</v>
      </c>
      <c r="M235" s="37" t="s">
        <v>212</v>
      </c>
      <c r="N235" s="37" t="s">
        <v>224</v>
      </c>
      <c r="O235" s="37"/>
      <c r="P235" s="21" t="s">
        <v>1806</v>
      </c>
      <c r="Q235" s="37" t="s">
        <v>472</v>
      </c>
    </row>
    <row r="236" spans="1:17" ht="25">
      <c r="A236" s="37" t="s">
        <v>1056</v>
      </c>
      <c r="B236" s="37" t="s">
        <v>296</v>
      </c>
      <c r="C236" s="37" t="s">
        <v>396</v>
      </c>
      <c r="D236" s="37" t="s">
        <v>360</v>
      </c>
      <c r="E236" s="38" t="s">
        <v>1057</v>
      </c>
      <c r="F236" s="37" t="s">
        <v>362</v>
      </c>
      <c r="G236" s="37"/>
      <c r="H236" s="37" t="s">
        <v>1005</v>
      </c>
      <c r="I236" s="37">
        <v>4</v>
      </c>
      <c r="J236" s="37" t="s">
        <v>1058</v>
      </c>
      <c r="K236" s="37" t="s">
        <v>365</v>
      </c>
      <c r="L236" s="37" t="s">
        <v>366</v>
      </c>
      <c r="M236" s="37" t="s">
        <v>211</v>
      </c>
      <c r="N236" s="37" t="s">
        <v>224</v>
      </c>
      <c r="O236" s="37"/>
      <c r="P236" s="21" t="s">
        <v>1806</v>
      </c>
      <c r="Q236" s="37" t="s">
        <v>472</v>
      </c>
    </row>
    <row r="237" spans="1:17" ht="25">
      <c r="A237" s="37" t="s">
        <v>1059</v>
      </c>
      <c r="B237" s="37" t="s">
        <v>296</v>
      </c>
      <c r="C237" s="37" t="s">
        <v>550</v>
      </c>
      <c r="D237" s="37" t="s">
        <v>360</v>
      </c>
      <c r="E237" s="38" t="s">
        <v>1060</v>
      </c>
      <c r="F237" s="37" t="s">
        <v>362</v>
      </c>
      <c r="G237" s="37"/>
      <c r="H237" s="37" t="s">
        <v>1061</v>
      </c>
      <c r="I237" s="37">
        <v>4</v>
      </c>
      <c r="J237" s="37" t="s">
        <v>1062</v>
      </c>
      <c r="K237" s="37" t="s">
        <v>365</v>
      </c>
      <c r="L237" s="37" t="s">
        <v>366</v>
      </c>
      <c r="M237" s="37" t="s">
        <v>211</v>
      </c>
      <c r="N237" s="37" t="s">
        <v>224</v>
      </c>
      <c r="O237" s="37"/>
      <c r="P237" s="21" t="s">
        <v>1806</v>
      </c>
      <c r="Q237" s="37" t="s">
        <v>472</v>
      </c>
    </row>
    <row r="238" spans="1:17" ht="25">
      <c r="A238" s="37" t="s">
        <v>1063</v>
      </c>
      <c r="B238" s="37" t="s">
        <v>296</v>
      </c>
      <c r="C238" s="37" t="s">
        <v>553</v>
      </c>
      <c r="D238" s="37" t="s">
        <v>360</v>
      </c>
      <c r="E238" s="38">
        <v>128</v>
      </c>
      <c r="F238" s="37" t="s">
        <v>451</v>
      </c>
      <c r="G238" s="37" t="s">
        <v>554</v>
      </c>
      <c r="H238" s="37" t="s">
        <v>1013</v>
      </c>
      <c r="I238" s="37">
        <v>4</v>
      </c>
      <c r="J238" s="37" t="s">
        <v>1064</v>
      </c>
      <c r="K238" s="37" t="s">
        <v>365</v>
      </c>
      <c r="L238" s="37" t="s">
        <v>366</v>
      </c>
      <c r="M238" s="37" t="s">
        <v>211</v>
      </c>
      <c r="N238" s="37" t="s">
        <v>224</v>
      </c>
      <c r="O238" s="37"/>
      <c r="P238" s="21" t="s">
        <v>1806</v>
      </c>
      <c r="Q238" s="37" t="s">
        <v>472</v>
      </c>
    </row>
    <row r="239" spans="1:17" ht="25">
      <c r="A239" s="37" t="s">
        <v>1065</v>
      </c>
      <c r="B239" s="37" t="s">
        <v>296</v>
      </c>
      <c r="C239" s="37" t="s">
        <v>558</v>
      </c>
      <c r="D239" s="37" t="s">
        <v>360</v>
      </c>
      <c r="E239" s="38">
        <v>95.24</v>
      </c>
      <c r="F239" s="37" t="s">
        <v>451</v>
      </c>
      <c r="G239" s="37" t="s">
        <v>559</v>
      </c>
      <c r="H239" s="37" t="s">
        <v>1066</v>
      </c>
      <c r="I239" s="37">
        <v>6</v>
      </c>
      <c r="J239" s="37" t="s">
        <v>1067</v>
      </c>
      <c r="K239" s="37" t="s">
        <v>365</v>
      </c>
      <c r="L239" s="37" t="s">
        <v>366</v>
      </c>
      <c r="M239" s="37" t="s">
        <v>211</v>
      </c>
      <c r="N239" s="37" t="s">
        <v>224</v>
      </c>
      <c r="O239" s="37"/>
      <c r="P239" s="21" t="s">
        <v>1806</v>
      </c>
      <c r="Q239" s="37" t="s">
        <v>472</v>
      </c>
    </row>
    <row r="240" spans="1:17" ht="25">
      <c r="A240" s="37" t="s">
        <v>1068</v>
      </c>
      <c r="B240" s="37" t="s">
        <v>296</v>
      </c>
      <c r="C240" s="37" t="s">
        <v>564</v>
      </c>
      <c r="D240" s="37" t="s">
        <v>386</v>
      </c>
      <c r="E240" s="38"/>
      <c r="F240" s="37" t="s">
        <v>362</v>
      </c>
      <c r="G240" s="37"/>
      <c r="H240" s="37" t="s">
        <v>1069</v>
      </c>
      <c r="I240" s="37"/>
      <c r="J240" s="37"/>
      <c r="K240" s="37" t="s">
        <v>365</v>
      </c>
      <c r="L240" s="37"/>
      <c r="M240" s="37" t="s">
        <v>211</v>
      </c>
      <c r="N240" s="37" t="s">
        <v>224</v>
      </c>
      <c r="O240" s="37"/>
      <c r="P240" s="21" t="s">
        <v>1806</v>
      </c>
      <c r="Q240" s="37" t="s">
        <v>482</v>
      </c>
    </row>
    <row r="241" spans="1:17" ht="25">
      <c r="A241" s="37" t="s">
        <v>1070</v>
      </c>
      <c r="B241" s="37" t="s">
        <v>296</v>
      </c>
      <c r="C241" s="37" t="s">
        <v>567</v>
      </c>
      <c r="D241" s="37" t="s">
        <v>386</v>
      </c>
      <c r="E241" s="38"/>
      <c r="F241" s="37" t="s">
        <v>370</v>
      </c>
      <c r="G241" s="37"/>
      <c r="H241" s="37" t="s">
        <v>1069</v>
      </c>
      <c r="I241" s="37"/>
      <c r="J241" s="37"/>
      <c r="K241" s="37" t="s">
        <v>365</v>
      </c>
      <c r="L241" s="37"/>
      <c r="M241" s="37" t="s">
        <v>211</v>
      </c>
      <c r="N241" s="37" t="s">
        <v>224</v>
      </c>
      <c r="O241" s="37"/>
      <c r="P241" s="21" t="s">
        <v>1806</v>
      </c>
      <c r="Q241" s="37" t="s">
        <v>482</v>
      </c>
    </row>
    <row r="242" spans="1:17" ht="25">
      <c r="A242" s="37" t="s">
        <v>1071</v>
      </c>
      <c r="B242" s="37" t="s">
        <v>296</v>
      </c>
      <c r="C242" s="37" t="s">
        <v>569</v>
      </c>
      <c r="D242" s="37" t="s">
        <v>386</v>
      </c>
      <c r="E242" s="38"/>
      <c r="F242" s="37" t="s">
        <v>451</v>
      </c>
      <c r="G242" s="37" t="s">
        <v>452</v>
      </c>
      <c r="H242" s="37" t="s">
        <v>1069</v>
      </c>
      <c r="I242" s="37"/>
      <c r="J242" s="37"/>
      <c r="K242" s="37" t="s">
        <v>365</v>
      </c>
      <c r="L242" s="37"/>
      <c r="M242" s="37" t="s">
        <v>211</v>
      </c>
      <c r="N242" s="37" t="s">
        <v>224</v>
      </c>
      <c r="O242" s="37"/>
      <c r="P242" s="21" t="s">
        <v>1806</v>
      </c>
      <c r="Q242" s="37" t="s">
        <v>482</v>
      </c>
    </row>
    <row r="243" spans="1:17" ht="50">
      <c r="A243" s="37" t="s">
        <v>1072</v>
      </c>
      <c r="B243" s="37" t="s">
        <v>296</v>
      </c>
      <c r="C243" s="37" t="s">
        <v>769</v>
      </c>
      <c r="D243" s="37" t="s">
        <v>480</v>
      </c>
      <c r="E243" s="38"/>
      <c r="F243" s="37" t="s">
        <v>362</v>
      </c>
      <c r="G243" s="37"/>
      <c r="H243" s="37"/>
      <c r="I243" s="37">
        <v>2</v>
      </c>
      <c r="J243" s="37" t="s">
        <v>1073</v>
      </c>
      <c r="K243" s="37" t="s">
        <v>365</v>
      </c>
      <c r="L243" s="37" t="s">
        <v>366</v>
      </c>
      <c r="M243" s="37" t="s">
        <v>212</v>
      </c>
      <c r="N243" s="37" t="s">
        <v>224</v>
      </c>
      <c r="O243" s="37"/>
      <c r="P243" s="21" t="s">
        <v>1806</v>
      </c>
      <c r="Q243" s="37" t="s">
        <v>472</v>
      </c>
    </row>
    <row r="244" spans="1:17" ht="25">
      <c r="A244" s="37" t="s">
        <v>1074</v>
      </c>
      <c r="B244" s="37" t="s">
        <v>296</v>
      </c>
      <c r="C244" s="37" t="s">
        <v>857</v>
      </c>
      <c r="D244" s="37" t="s">
        <v>360</v>
      </c>
      <c r="E244" s="38" t="s">
        <v>1075</v>
      </c>
      <c r="F244" s="37" t="s">
        <v>362</v>
      </c>
      <c r="G244" s="37"/>
      <c r="H244" s="37" t="s">
        <v>1076</v>
      </c>
      <c r="I244" s="37">
        <v>1</v>
      </c>
      <c r="J244" s="37" t="s">
        <v>1077</v>
      </c>
      <c r="K244" s="37" t="s">
        <v>365</v>
      </c>
      <c r="L244" s="37" t="s">
        <v>366</v>
      </c>
      <c r="M244" s="37" t="s">
        <v>212</v>
      </c>
      <c r="N244" s="37" t="s">
        <v>224</v>
      </c>
      <c r="O244" s="37"/>
      <c r="P244" s="21" t="s">
        <v>1806</v>
      </c>
      <c r="Q244" s="37" t="s">
        <v>472</v>
      </c>
    </row>
    <row r="245" spans="1:17" ht="25">
      <c r="A245" s="37" t="s">
        <v>1078</v>
      </c>
      <c r="B245" s="37" t="s">
        <v>296</v>
      </c>
      <c r="C245" s="37" t="s">
        <v>862</v>
      </c>
      <c r="D245" s="37" t="s">
        <v>480</v>
      </c>
      <c r="E245" s="38"/>
      <c r="F245" s="37" t="s">
        <v>362</v>
      </c>
      <c r="G245" s="37"/>
      <c r="H245" s="37"/>
      <c r="I245" s="37"/>
      <c r="J245" s="37"/>
      <c r="K245" s="37" t="s">
        <v>365</v>
      </c>
      <c r="L245" s="37"/>
      <c r="M245" s="37" t="s">
        <v>212</v>
      </c>
      <c r="N245" s="37" t="s">
        <v>224</v>
      </c>
      <c r="O245" s="37"/>
      <c r="P245" s="21" t="s">
        <v>1806</v>
      </c>
      <c r="Q245" s="37" t="s">
        <v>482</v>
      </c>
    </row>
    <row r="246" spans="1:17" ht="25">
      <c r="A246" s="37" t="s">
        <v>1079</v>
      </c>
      <c r="B246" s="37" t="s">
        <v>296</v>
      </c>
      <c r="C246" s="37" t="s">
        <v>867</v>
      </c>
      <c r="D246" s="37" t="s">
        <v>480</v>
      </c>
      <c r="E246" s="38"/>
      <c r="F246" s="37" t="s">
        <v>362</v>
      </c>
      <c r="G246" s="37"/>
      <c r="H246" s="37"/>
      <c r="I246" s="37"/>
      <c r="J246" s="37"/>
      <c r="K246" s="37" t="s">
        <v>365</v>
      </c>
      <c r="L246" s="37"/>
      <c r="M246" s="37" t="s">
        <v>212</v>
      </c>
      <c r="N246" s="37" t="s">
        <v>224</v>
      </c>
      <c r="O246" s="37"/>
      <c r="P246" s="21" t="s">
        <v>1806</v>
      </c>
      <c r="Q246" s="37" t="s">
        <v>482</v>
      </c>
    </row>
    <row r="247" spans="1:17" ht="25">
      <c r="A247" s="37" t="s">
        <v>1080</v>
      </c>
      <c r="B247" s="37" t="s">
        <v>296</v>
      </c>
      <c r="C247" s="37" t="s">
        <v>918</v>
      </c>
      <c r="D247" s="37" t="s">
        <v>360</v>
      </c>
      <c r="E247" s="38" t="s">
        <v>440</v>
      </c>
      <c r="F247" s="37" t="s">
        <v>441</v>
      </c>
      <c r="G247" s="37"/>
      <c r="H247" s="37" t="s">
        <v>1081</v>
      </c>
      <c r="I247" s="37">
        <v>6</v>
      </c>
      <c r="J247" s="37" t="s">
        <v>1082</v>
      </c>
      <c r="K247" s="37" t="s">
        <v>365</v>
      </c>
      <c r="L247" s="37" t="s">
        <v>366</v>
      </c>
      <c r="M247" s="37" t="s">
        <v>212</v>
      </c>
      <c r="N247" s="37" t="s">
        <v>224</v>
      </c>
      <c r="O247" s="37"/>
      <c r="P247" s="21" t="s">
        <v>1806</v>
      </c>
      <c r="Q247" s="37" t="s">
        <v>472</v>
      </c>
    </row>
    <row r="248" spans="1:17" ht="75">
      <c r="A248" s="37" t="s">
        <v>1083</v>
      </c>
      <c r="B248" s="37" t="s">
        <v>296</v>
      </c>
      <c r="C248" s="37" t="s">
        <v>920</v>
      </c>
      <c r="D248" s="37" t="s">
        <v>480</v>
      </c>
      <c r="E248" s="38"/>
      <c r="F248" s="37" t="s">
        <v>441</v>
      </c>
      <c r="G248" s="37"/>
      <c r="H248" s="37"/>
      <c r="I248" s="37">
        <v>5</v>
      </c>
      <c r="J248" s="37" t="s">
        <v>1084</v>
      </c>
      <c r="K248" s="37" t="s">
        <v>365</v>
      </c>
      <c r="L248" s="37" t="s">
        <v>366</v>
      </c>
      <c r="M248" s="37" t="s">
        <v>212</v>
      </c>
      <c r="N248" s="37" t="s">
        <v>224</v>
      </c>
      <c r="O248" s="37"/>
      <c r="P248" s="21" t="s">
        <v>1806</v>
      </c>
      <c r="Q248" s="37" t="s">
        <v>472</v>
      </c>
    </row>
    <row r="249" spans="1:17" ht="25">
      <c r="A249" s="37" t="s">
        <v>1085</v>
      </c>
      <c r="B249" s="37" t="s">
        <v>296</v>
      </c>
      <c r="C249" s="37" t="s">
        <v>923</v>
      </c>
      <c r="D249" s="37" t="s">
        <v>480</v>
      </c>
      <c r="E249" s="38"/>
      <c r="F249" s="37" t="s">
        <v>441</v>
      </c>
      <c r="G249" s="37"/>
      <c r="H249" s="37"/>
      <c r="I249" s="37"/>
      <c r="J249" s="37"/>
      <c r="K249" s="37" t="s">
        <v>365</v>
      </c>
      <c r="L249" s="37"/>
      <c r="M249" s="37" t="s">
        <v>212</v>
      </c>
      <c r="N249" s="37" t="s">
        <v>224</v>
      </c>
      <c r="O249" s="37"/>
      <c r="P249" s="21" t="s">
        <v>1806</v>
      </c>
      <c r="Q249" s="37" t="s">
        <v>482</v>
      </c>
    </row>
    <row r="250" spans="1:17" ht="25">
      <c r="A250" s="37" t="s">
        <v>1086</v>
      </c>
      <c r="B250" s="37" t="s">
        <v>296</v>
      </c>
      <c r="C250" s="37" t="s">
        <v>925</v>
      </c>
      <c r="D250" s="37" t="s">
        <v>360</v>
      </c>
      <c r="E250" s="38" t="s">
        <v>440</v>
      </c>
      <c r="F250" s="37" t="s">
        <v>441</v>
      </c>
      <c r="G250" s="37"/>
      <c r="H250" s="37" t="s">
        <v>1087</v>
      </c>
      <c r="I250" s="37">
        <v>6</v>
      </c>
      <c r="J250" s="37" t="s">
        <v>1088</v>
      </c>
      <c r="K250" s="37" t="s">
        <v>365</v>
      </c>
      <c r="L250" s="37" t="s">
        <v>366</v>
      </c>
      <c r="M250" s="37" t="s">
        <v>212</v>
      </c>
      <c r="N250" s="37" t="s">
        <v>224</v>
      </c>
      <c r="O250" s="37"/>
      <c r="P250" s="21" t="s">
        <v>1806</v>
      </c>
      <c r="Q250" s="37" t="s">
        <v>472</v>
      </c>
    </row>
    <row r="251" spans="1:17" ht="25">
      <c r="A251" s="37" t="s">
        <v>1089</v>
      </c>
      <c r="B251" s="37" t="s">
        <v>296</v>
      </c>
      <c r="C251" s="37" t="s">
        <v>927</v>
      </c>
      <c r="D251" s="37" t="s">
        <v>480</v>
      </c>
      <c r="E251" s="38"/>
      <c r="F251" s="37" t="s">
        <v>441</v>
      </c>
      <c r="G251" s="37"/>
      <c r="H251" s="37"/>
      <c r="I251" s="37"/>
      <c r="J251" s="37"/>
      <c r="K251" s="37" t="s">
        <v>365</v>
      </c>
      <c r="L251" s="37"/>
      <c r="M251" s="37" t="s">
        <v>212</v>
      </c>
      <c r="N251" s="37" t="s">
        <v>224</v>
      </c>
      <c r="O251" s="37"/>
      <c r="P251" s="21" t="s">
        <v>1806</v>
      </c>
      <c r="Q251" s="37" t="s">
        <v>482</v>
      </c>
    </row>
    <row r="252" spans="1:17" ht="25">
      <c r="A252" s="37" t="s">
        <v>1090</v>
      </c>
      <c r="B252" s="37" t="s">
        <v>296</v>
      </c>
      <c r="C252" s="37" t="s">
        <v>929</v>
      </c>
      <c r="D252" s="37" t="s">
        <v>360</v>
      </c>
      <c r="E252" s="38" t="s">
        <v>1091</v>
      </c>
      <c r="F252" s="37" t="s">
        <v>362</v>
      </c>
      <c r="G252" s="37"/>
      <c r="H252" s="37" t="s">
        <v>1092</v>
      </c>
      <c r="I252" s="37">
        <v>6</v>
      </c>
      <c r="J252" s="37" t="s">
        <v>1093</v>
      </c>
      <c r="K252" s="37" t="s">
        <v>365</v>
      </c>
      <c r="L252" s="37" t="s">
        <v>366</v>
      </c>
      <c r="M252" s="37" t="s">
        <v>212</v>
      </c>
      <c r="N252" s="37" t="s">
        <v>224</v>
      </c>
      <c r="O252" s="37"/>
      <c r="P252" s="21" t="s">
        <v>1806</v>
      </c>
      <c r="Q252" s="37" t="s">
        <v>472</v>
      </c>
    </row>
    <row r="253" spans="1:17" ht="25">
      <c r="A253" s="37" t="s">
        <v>1094</v>
      </c>
      <c r="B253" s="37" t="s">
        <v>296</v>
      </c>
      <c r="C253" s="37" t="s">
        <v>931</v>
      </c>
      <c r="D253" s="37" t="s">
        <v>360</v>
      </c>
      <c r="E253" s="38">
        <v>80</v>
      </c>
      <c r="F253" s="37" t="s">
        <v>451</v>
      </c>
      <c r="G253" s="37" t="s">
        <v>554</v>
      </c>
      <c r="H253" s="37" t="s">
        <v>1095</v>
      </c>
      <c r="I253" s="37">
        <v>4</v>
      </c>
      <c r="J253" s="37" t="s">
        <v>1096</v>
      </c>
      <c r="K253" s="37" t="s">
        <v>365</v>
      </c>
      <c r="L253" s="37" t="s">
        <v>366</v>
      </c>
      <c r="M253" s="37" t="s">
        <v>212</v>
      </c>
      <c r="N253" s="37" t="s">
        <v>224</v>
      </c>
      <c r="O253" s="37"/>
      <c r="P253" s="21" t="s">
        <v>1806</v>
      </c>
      <c r="Q253" s="37" t="s">
        <v>472</v>
      </c>
    </row>
    <row r="254" spans="1:17" ht="25">
      <c r="A254" s="37" t="s">
        <v>1097</v>
      </c>
      <c r="B254" s="37" t="s">
        <v>296</v>
      </c>
      <c r="C254" s="37" t="s">
        <v>779</v>
      </c>
      <c r="D254" s="37" t="s">
        <v>360</v>
      </c>
      <c r="E254" s="38" t="s">
        <v>1098</v>
      </c>
      <c r="F254" s="37" t="s">
        <v>362</v>
      </c>
      <c r="G254" s="37"/>
      <c r="H254" s="37" t="s">
        <v>1099</v>
      </c>
      <c r="I254" s="37">
        <v>1</v>
      </c>
      <c r="J254" s="37" t="s">
        <v>1100</v>
      </c>
      <c r="K254" s="37" t="s">
        <v>365</v>
      </c>
      <c r="L254" s="37" t="s">
        <v>366</v>
      </c>
      <c r="M254" s="37" t="s">
        <v>212</v>
      </c>
      <c r="N254" s="37" t="s">
        <v>224</v>
      </c>
      <c r="O254" s="37"/>
      <c r="P254" s="21" t="s">
        <v>1806</v>
      </c>
      <c r="Q254" s="37" t="s">
        <v>472</v>
      </c>
    </row>
    <row r="255" spans="1:17" ht="25">
      <c r="A255" s="37" t="s">
        <v>1101</v>
      </c>
      <c r="B255" s="37" t="s">
        <v>296</v>
      </c>
      <c r="C255" s="37" t="s">
        <v>450</v>
      </c>
      <c r="D255" s="37" t="s">
        <v>360</v>
      </c>
      <c r="E255" s="38">
        <v>27</v>
      </c>
      <c r="F255" s="37" t="s">
        <v>451</v>
      </c>
      <c r="G255" s="37" t="s">
        <v>452</v>
      </c>
      <c r="H255" s="37" t="s">
        <v>1102</v>
      </c>
      <c r="I255" s="37">
        <v>5</v>
      </c>
      <c r="J255" s="37" t="s">
        <v>1103</v>
      </c>
      <c r="K255" s="37" t="s">
        <v>365</v>
      </c>
      <c r="L255" s="37" t="s">
        <v>366</v>
      </c>
      <c r="M255" s="37" t="s">
        <v>212</v>
      </c>
      <c r="N255" s="37" t="s">
        <v>224</v>
      </c>
      <c r="O255" s="37"/>
      <c r="P255" s="21" t="s">
        <v>1806</v>
      </c>
      <c r="Q255" s="37" t="s">
        <v>472</v>
      </c>
    </row>
    <row r="256" spans="1:17" ht="25">
      <c r="A256" s="37" t="s">
        <v>1104</v>
      </c>
      <c r="B256" s="37" t="s">
        <v>296</v>
      </c>
      <c r="C256" s="37" t="s">
        <v>456</v>
      </c>
      <c r="D256" s="37" t="s">
        <v>360</v>
      </c>
      <c r="E256" s="38" t="s">
        <v>1105</v>
      </c>
      <c r="F256" s="37" t="s">
        <v>362</v>
      </c>
      <c r="G256" s="37" t="s">
        <v>458</v>
      </c>
      <c r="H256" s="37" t="s">
        <v>1106</v>
      </c>
      <c r="I256" s="37">
        <v>4</v>
      </c>
      <c r="J256" s="37" t="s">
        <v>1107</v>
      </c>
      <c r="K256" s="37" t="s">
        <v>365</v>
      </c>
      <c r="L256" s="37" t="s">
        <v>366</v>
      </c>
      <c r="M256" s="37" t="s">
        <v>212</v>
      </c>
      <c r="N256" s="37" t="s">
        <v>224</v>
      </c>
      <c r="O256" s="37"/>
      <c r="P256" s="21" t="s">
        <v>1806</v>
      </c>
      <c r="Q256" s="37" t="s">
        <v>472</v>
      </c>
    </row>
    <row r="257" spans="1:17" ht="25">
      <c r="A257" s="37" t="s">
        <v>1108</v>
      </c>
      <c r="B257" s="37" t="s">
        <v>296</v>
      </c>
      <c r="C257" s="37" t="s">
        <v>462</v>
      </c>
      <c r="D257" s="37" t="s">
        <v>360</v>
      </c>
      <c r="E257" s="38" t="s">
        <v>895</v>
      </c>
      <c r="F257" s="37" t="s">
        <v>362</v>
      </c>
      <c r="G257" s="37" t="s">
        <v>464</v>
      </c>
      <c r="H257" s="37" t="s">
        <v>895</v>
      </c>
      <c r="I257" s="37">
        <v>6</v>
      </c>
      <c r="J257" s="37" t="s">
        <v>1109</v>
      </c>
      <c r="K257" s="37" t="s">
        <v>365</v>
      </c>
      <c r="L257" s="37" t="s">
        <v>366</v>
      </c>
      <c r="M257" s="37" t="s">
        <v>212</v>
      </c>
      <c r="N257" s="37" t="s">
        <v>224</v>
      </c>
      <c r="O257" s="37"/>
      <c r="P257" s="21" t="s">
        <v>1806</v>
      </c>
      <c r="Q257" s="37" t="s">
        <v>472</v>
      </c>
    </row>
    <row r="258" spans="1:17" ht="25">
      <c r="A258" s="37" t="s">
        <v>1110</v>
      </c>
      <c r="B258" s="37" t="s">
        <v>302</v>
      </c>
      <c r="C258" s="37" t="s">
        <v>396</v>
      </c>
      <c r="D258" s="37" t="s">
        <v>360</v>
      </c>
      <c r="E258" s="38" t="s">
        <v>1005</v>
      </c>
      <c r="F258" s="37" t="s">
        <v>362</v>
      </c>
      <c r="G258" s="37"/>
      <c r="H258" s="37" t="s">
        <v>1111</v>
      </c>
      <c r="I258" s="37">
        <v>24</v>
      </c>
      <c r="J258" s="37" t="s">
        <v>1112</v>
      </c>
      <c r="K258" s="37" t="s">
        <v>365</v>
      </c>
      <c r="L258" s="37" t="s">
        <v>366</v>
      </c>
      <c r="M258" s="37" t="s">
        <v>211</v>
      </c>
      <c r="N258" s="37" t="s">
        <v>224</v>
      </c>
      <c r="O258" s="37"/>
      <c r="P258" s="21" t="s">
        <v>1806</v>
      </c>
      <c r="Q258" s="37" t="s">
        <v>472</v>
      </c>
    </row>
    <row r="259" spans="1:17" ht="25">
      <c r="A259" s="37" t="s">
        <v>1113</v>
      </c>
      <c r="B259" s="37" t="s">
        <v>302</v>
      </c>
      <c r="C259" s="37" t="s">
        <v>550</v>
      </c>
      <c r="D259" s="37" t="s">
        <v>360</v>
      </c>
      <c r="E259" s="38" t="s">
        <v>1114</v>
      </c>
      <c r="F259" s="37" t="s">
        <v>362</v>
      </c>
      <c r="G259" s="37"/>
      <c r="H259" s="37" t="s">
        <v>1115</v>
      </c>
      <c r="I259" s="37">
        <v>24</v>
      </c>
      <c r="J259" s="37" t="s">
        <v>1116</v>
      </c>
      <c r="K259" s="37" t="s">
        <v>365</v>
      </c>
      <c r="L259" s="37" t="s">
        <v>366</v>
      </c>
      <c r="M259" s="37" t="s">
        <v>211</v>
      </c>
      <c r="N259" s="37" t="s">
        <v>224</v>
      </c>
      <c r="O259" s="37"/>
      <c r="P259" s="21" t="s">
        <v>1806</v>
      </c>
      <c r="Q259" s="37" t="s">
        <v>472</v>
      </c>
    </row>
    <row r="260" spans="1:17" ht="25">
      <c r="A260" s="37" t="s">
        <v>1117</v>
      </c>
      <c r="B260" s="37" t="s">
        <v>302</v>
      </c>
      <c r="C260" s="37" t="s">
        <v>553</v>
      </c>
      <c r="D260" s="37" t="s">
        <v>360</v>
      </c>
      <c r="E260" s="38">
        <v>128</v>
      </c>
      <c r="F260" s="37" t="s">
        <v>451</v>
      </c>
      <c r="G260" s="37" t="s">
        <v>554</v>
      </c>
      <c r="H260" s="37" t="s">
        <v>1013</v>
      </c>
      <c r="I260" s="37">
        <v>8</v>
      </c>
      <c r="J260" s="37" t="s">
        <v>1118</v>
      </c>
      <c r="K260" s="37" t="s">
        <v>365</v>
      </c>
      <c r="L260" s="37" t="s">
        <v>366</v>
      </c>
      <c r="M260" s="37" t="s">
        <v>211</v>
      </c>
      <c r="N260" s="37" t="s">
        <v>224</v>
      </c>
      <c r="O260" s="37"/>
      <c r="P260" s="21" t="s">
        <v>1806</v>
      </c>
      <c r="Q260" s="37" t="s">
        <v>472</v>
      </c>
    </row>
    <row r="261" spans="1:17" ht="25">
      <c r="A261" s="37" t="s">
        <v>1119</v>
      </c>
      <c r="B261" s="37" t="s">
        <v>302</v>
      </c>
      <c r="C261" s="37" t="s">
        <v>558</v>
      </c>
      <c r="D261" s="37" t="s">
        <v>360</v>
      </c>
      <c r="E261" s="38">
        <v>95.23</v>
      </c>
      <c r="F261" s="37" t="s">
        <v>451</v>
      </c>
      <c r="G261" s="37" t="s">
        <v>559</v>
      </c>
      <c r="H261" s="37" t="s">
        <v>1120</v>
      </c>
      <c r="I261" s="37">
        <v>8</v>
      </c>
      <c r="J261" s="37" t="s">
        <v>1121</v>
      </c>
      <c r="K261" s="37" t="s">
        <v>365</v>
      </c>
      <c r="L261" s="37" t="s">
        <v>366</v>
      </c>
      <c r="M261" s="37" t="s">
        <v>211</v>
      </c>
      <c r="N261" s="37" t="s">
        <v>224</v>
      </c>
      <c r="O261" s="37"/>
      <c r="P261" s="21" t="s">
        <v>1806</v>
      </c>
      <c r="Q261" s="37" t="s">
        <v>472</v>
      </c>
    </row>
    <row r="262" spans="1:17" ht="25">
      <c r="A262" s="37" t="s">
        <v>1122</v>
      </c>
      <c r="B262" s="37" t="s">
        <v>302</v>
      </c>
      <c r="C262" s="37" t="s">
        <v>564</v>
      </c>
      <c r="D262" s="37" t="s">
        <v>386</v>
      </c>
      <c r="E262" s="38"/>
      <c r="F262" s="37" t="s">
        <v>362</v>
      </c>
      <c r="G262" s="37"/>
      <c r="H262" s="37" t="s">
        <v>971</v>
      </c>
      <c r="I262" s="37"/>
      <c r="J262" s="37"/>
      <c r="K262" s="37" t="s">
        <v>365</v>
      </c>
      <c r="L262" s="37"/>
      <c r="M262" s="37" t="s">
        <v>211</v>
      </c>
      <c r="N262" s="37" t="s">
        <v>224</v>
      </c>
      <c r="O262" s="37"/>
      <c r="P262" s="21" t="s">
        <v>1806</v>
      </c>
      <c r="Q262" s="37" t="s">
        <v>482</v>
      </c>
    </row>
    <row r="263" spans="1:17" ht="25">
      <c r="A263" s="37" t="s">
        <v>1123</v>
      </c>
      <c r="B263" s="37" t="s">
        <v>302</v>
      </c>
      <c r="C263" s="37" t="s">
        <v>567</v>
      </c>
      <c r="D263" s="37" t="s">
        <v>386</v>
      </c>
      <c r="E263" s="38"/>
      <c r="F263" s="37" t="s">
        <v>370</v>
      </c>
      <c r="G263" s="37"/>
      <c r="H263" s="37" t="s">
        <v>971</v>
      </c>
      <c r="I263" s="37"/>
      <c r="J263" s="37"/>
      <c r="K263" s="37" t="s">
        <v>365</v>
      </c>
      <c r="L263" s="37"/>
      <c r="M263" s="37" t="s">
        <v>211</v>
      </c>
      <c r="N263" s="37" t="s">
        <v>224</v>
      </c>
      <c r="O263" s="37"/>
      <c r="P263" s="21" t="s">
        <v>1806</v>
      </c>
      <c r="Q263" s="37" t="s">
        <v>482</v>
      </c>
    </row>
    <row r="264" spans="1:17" ht="25">
      <c r="A264" s="37" t="s">
        <v>1124</v>
      </c>
      <c r="B264" s="37" t="s">
        <v>302</v>
      </c>
      <c r="C264" s="37" t="s">
        <v>569</v>
      </c>
      <c r="D264" s="37" t="s">
        <v>386</v>
      </c>
      <c r="E264" s="38"/>
      <c r="F264" s="37" t="s">
        <v>451</v>
      </c>
      <c r="G264" s="37" t="s">
        <v>452</v>
      </c>
      <c r="H264" s="37" t="s">
        <v>971</v>
      </c>
      <c r="I264" s="37"/>
      <c r="J264" s="37"/>
      <c r="K264" s="37" t="s">
        <v>365</v>
      </c>
      <c r="L264" s="37"/>
      <c r="M264" s="37" t="s">
        <v>211</v>
      </c>
      <c r="N264" s="37" t="s">
        <v>224</v>
      </c>
      <c r="O264" s="37"/>
      <c r="P264" s="21" t="s">
        <v>1806</v>
      </c>
      <c r="Q264" s="37" t="s">
        <v>482</v>
      </c>
    </row>
    <row r="265" spans="1:17" ht="62.5">
      <c r="A265" s="37" t="s">
        <v>1125</v>
      </c>
      <c r="B265" s="37" t="s">
        <v>302</v>
      </c>
      <c r="C265" s="37" t="s">
        <v>769</v>
      </c>
      <c r="D265" s="37" t="s">
        <v>480</v>
      </c>
      <c r="E265" s="38"/>
      <c r="F265" s="37" t="s">
        <v>362</v>
      </c>
      <c r="G265" s="37"/>
      <c r="H265" s="37"/>
      <c r="I265" s="37">
        <v>7</v>
      </c>
      <c r="J265" s="37" t="s">
        <v>1126</v>
      </c>
      <c r="K265" s="37" t="s">
        <v>365</v>
      </c>
      <c r="L265" s="37" t="s">
        <v>366</v>
      </c>
      <c r="M265" s="37" t="s">
        <v>212</v>
      </c>
      <c r="N265" s="37" t="s">
        <v>224</v>
      </c>
      <c r="O265" s="37"/>
      <c r="P265" s="21" t="s">
        <v>1806</v>
      </c>
      <c r="Q265" s="37" t="s">
        <v>472</v>
      </c>
    </row>
    <row r="266" spans="1:17" ht="25">
      <c r="A266" s="37" t="s">
        <v>1127</v>
      </c>
      <c r="B266" s="37" t="s">
        <v>302</v>
      </c>
      <c r="C266" s="37" t="s">
        <v>857</v>
      </c>
      <c r="D266" s="37" t="s">
        <v>360</v>
      </c>
      <c r="E266" s="38" t="s">
        <v>1128</v>
      </c>
      <c r="F266" s="37" t="s">
        <v>362</v>
      </c>
      <c r="G266" s="37"/>
      <c r="H266" s="37" t="s">
        <v>1076</v>
      </c>
      <c r="I266" s="37">
        <v>11</v>
      </c>
      <c r="J266" s="37" t="s">
        <v>1129</v>
      </c>
      <c r="K266" s="37" t="s">
        <v>365</v>
      </c>
      <c r="L266" s="37" t="s">
        <v>366</v>
      </c>
      <c r="M266" s="37" t="s">
        <v>212</v>
      </c>
      <c r="N266" s="37" t="s">
        <v>224</v>
      </c>
      <c r="O266" s="37"/>
      <c r="P266" s="21" t="s">
        <v>1806</v>
      </c>
      <c r="Q266" s="37" t="s">
        <v>472</v>
      </c>
    </row>
    <row r="267" spans="1:17" ht="62.5">
      <c r="A267" s="37" t="s">
        <v>1130</v>
      </c>
      <c r="B267" s="37" t="s">
        <v>302</v>
      </c>
      <c r="C267" s="37" t="s">
        <v>862</v>
      </c>
      <c r="D267" s="37" t="s">
        <v>360</v>
      </c>
      <c r="E267" s="38" t="s">
        <v>1131</v>
      </c>
      <c r="F267" s="37" t="s">
        <v>362</v>
      </c>
      <c r="G267" s="37"/>
      <c r="H267" s="37" t="s">
        <v>1131</v>
      </c>
      <c r="I267" s="37">
        <v>11</v>
      </c>
      <c r="J267" s="37" t="s">
        <v>1132</v>
      </c>
      <c r="K267" s="37" t="s">
        <v>365</v>
      </c>
      <c r="L267" s="37" t="s">
        <v>366</v>
      </c>
      <c r="M267" s="37" t="s">
        <v>212</v>
      </c>
      <c r="N267" s="37" t="s">
        <v>224</v>
      </c>
      <c r="O267" s="37"/>
      <c r="P267" s="21" t="s">
        <v>1806</v>
      </c>
      <c r="Q267" s="37" t="s">
        <v>472</v>
      </c>
    </row>
    <row r="268" spans="1:17" ht="25">
      <c r="A268" s="37" t="s">
        <v>1133</v>
      </c>
      <c r="B268" s="37" t="s">
        <v>302</v>
      </c>
      <c r="C268" s="37" t="s">
        <v>867</v>
      </c>
      <c r="D268" s="37" t="s">
        <v>480</v>
      </c>
      <c r="E268" s="38"/>
      <c r="F268" s="37" t="s">
        <v>362</v>
      </c>
      <c r="G268" s="37"/>
      <c r="H268" s="37"/>
      <c r="I268" s="37"/>
      <c r="J268" s="37"/>
      <c r="K268" s="37" t="s">
        <v>365</v>
      </c>
      <c r="L268" s="37"/>
      <c r="M268" s="37" t="s">
        <v>212</v>
      </c>
      <c r="N268" s="37" t="s">
        <v>224</v>
      </c>
      <c r="O268" s="37"/>
      <c r="P268" s="21" t="s">
        <v>1806</v>
      </c>
      <c r="Q268" s="37" t="s">
        <v>482</v>
      </c>
    </row>
    <row r="269" spans="1:17" ht="25">
      <c r="A269" s="37" t="s">
        <v>1134</v>
      </c>
      <c r="B269" s="37" t="s">
        <v>302</v>
      </c>
      <c r="C269" s="37" t="s">
        <v>918</v>
      </c>
      <c r="D269" s="37" t="s">
        <v>386</v>
      </c>
      <c r="E269" s="38"/>
      <c r="F269" s="37" t="s">
        <v>441</v>
      </c>
      <c r="G269" s="37"/>
      <c r="H269" s="37" t="s">
        <v>1135</v>
      </c>
      <c r="I269" s="37">
        <v>11</v>
      </c>
      <c r="J269" s="37" t="s">
        <v>1136</v>
      </c>
      <c r="K269" s="37" t="s">
        <v>365</v>
      </c>
      <c r="L269" s="37" t="s">
        <v>366</v>
      </c>
      <c r="M269" s="37" t="s">
        <v>212</v>
      </c>
      <c r="N269" s="37" t="s">
        <v>224</v>
      </c>
      <c r="O269" s="37"/>
      <c r="P269" s="21" t="s">
        <v>1806</v>
      </c>
      <c r="Q269" s="37" t="s">
        <v>472</v>
      </c>
    </row>
    <row r="270" spans="1:17" ht="25">
      <c r="A270" s="37" t="s">
        <v>1137</v>
      </c>
      <c r="B270" s="37" t="s">
        <v>302</v>
      </c>
      <c r="C270" s="37" t="s">
        <v>920</v>
      </c>
      <c r="D270" s="37" t="s">
        <v>360</v>
      </c>
      <c r="E270" s="38" t="s">
        <v>440</v>
      </c>
      <c r="F270" s="37" t="s">
        <v>441</v>
      </c>
      <c r="G270" s="37"/>
      <c r="H270" s="37" t="s">
        <v>1138</v>
      </c>
      <c r="I270" s="37">
        <v>11</v>
      </c>
      <c r="J270" s="37" t="s">
        <v>1139</v>
      </c>
      <c r="K270" s="37" t="s">
        <v>365</v>
      </c>
      <c r="L270" s="37" t="s">
        <v>366</v>
      </c>
      <c r="M270" s="37" t="s">
        <v>212</v>
      </c>
      <c r="N270" s="37" t="s">
        <v>224</v>
      </c>
      <c r="O270" s="37"/>
      <c r="P270" s="21" t="s">
        <v>1806</v>
      </c>
      <c r="Q270" s="37" t="s">
        <v>472</v>
      </c>
    </row>
    <row r="271" spans="1:17" ht="37.5">
      <c r="A271" s="37" t="s">
        <v>1140</v>
      </c>
      <c r="B271" s="37" t="s">
        <v>302</v>
      </c>
      <c r="C271" s="37" t="s">
        <v>923</v>
      </c>
      <c r="D271" s="37" t="s">
        <v>360</v>
      </c>
      <c r="E271" s="38" t="s">
        <v>440</v>
      </c>
      <c r="F271" s="37" t="s">
        <v>441</v>
      </c>
      <c r="G271" s="37"/>
      <c r="H271" s="37" t="s">
        <v>990</v>
      </c>
      <c r="I271" s="37">
        <v>11</v>
      </c>
      <c r="J271" s="37" t="s">
        <v>1141</v>
      </c>
      <c r="K271" s="37" t="s">
        <v>365</v>
      </c>
      <c r="L271" s="37" t="s">
        <v>366</v>
      </c>
      <c r="M271" s="37" t="s">
        <v>212</v>
      </c>
      <c r="N271" s="37" t="s">
        <v>224</v>
      </c>
      <c r="O271" s="37"/>
      <c r="P271" s="21" t="s">
        <v>1806</v>
      </c>
      <c r="Q271" s="37" t="s">
        <v>472</v>
      </c>
    </row>
    <row r="272" spans="1:17" ht="25">
      <c r="A272" s="37" t="s">
        <v>1142</v>
      </c>
      <c r="B272" s="37" t="s">
        <v>302</v>
      </c>
      <c r="C272" s="37" t="s">
        <v>925</v>
      </c>
      <c r="D272" s="37" t="s">
        <v>480</v>
      </c>
      <c r="E272" s="38"/>
      <c r="F272" s="37" t="s">
        <v>441</v>
      </c>
      <c r="G272" s="37"/>
      <c r="H272" s="37"/>
      <c r="I272" s="37"/>
      <c r="J272" s="37"/>
      <c r="K272" s="37" t="s">
        <v>365</v>
      </c>
      <c r="L272" s="37"/>
      <c r="M272" s="37" t="s">
        <v>212</v>
      </c>
      <c r="N272" s="37" t="s">
        <v>224</v>
      </c>
      <c r="O272" s="37"/>
      <c r="P272" s="21" t="s">
        <v>1806</v>
      </c>
      <c r="Q272" s="37" t="s">
        <v>482</v>
      </c>
    </row>
    <row r="273" spans="1:17" ht="50">
      <c r="A273" s="37" t="s">
        <v>1143</v>
      </c>
      <c r="B273" s="37" t="s">
        <v>302</v>
      </c>
      <c r="C273" s="37" t="s">
        <v>927</v>
      </c>
      <c r="D273" s="37" t="s">
        <v>480</v>
      </c>
      <c r="E273" s="38"/>
      <c r="F273" s="37" t="s">
        <v>441</v>
      </c>
      <c r="G273" s="37"/>
      <c r="H273" s="37"/>
      <c r="I273" s="37">
        <v>11</v>
      </c>
      <c r="J273" s="37" t="s">
        <v>1144</v>
      </c>
      <c r="K273" s="37" t="s">
        <v>365</v>
      </c>
      <c r="L273" s="37" t="s">
        <v>366</v>
      </c>
      <c r="M273" s="37" t="s">
        <v>212</v>
      </c>
      <c r="N273" s="37" t="s">
        <v>224</v>
      </c>
      <c r="O273" s="37"/>
      <c r="P273" s="21" t="s">
        <v>1806</v>
      </c>
      <c r="Q273" s="37" t="s">
        <v>472</v>
      </c>
    </row>
    <row r="274" spans="1:17" ht="25">
      <c r="A274" s="37" t="s">
        <v>1145</v>
      </c>
      <c r="B274" s="37" t="s">
        <v>302</v>
      </c>
      <c r="C274" s="37" t="s">
        <v>929</v>
      </c>
      <c r="D274" s="37" t="s">
        <v>360</v>
      </c>
      <c r="E274" s="38" t="s">
        <v>1091</v>
      </c>
      <c r="F274" s="37" t="s">
        <v>362</v>
      </c>
      <c r="G274" s="37"/>
      <c r="H274" s="37" t="s">
        <v>1146</v>
      </c>
      <c r="I274" s="37">
        <v>12</v>
      </c>
      <c r="J274" s="37" t="s">
        <v>1147</v>
      </c>
      <c r="K274" s="37" t="s">
        <v>365</v>
      </c>
      <c r="L274" s="37" t="s">
        <v>366</v>
      </c>
      <c r="M274" s="37" t="s">
        <v>212</v>
      </c>
      <c r="N274" s="37" t="s">
        <v>224</v>
      </c>
      <c r="O274" s="37"/>
      <c r="P274" s="21" t="s">
        <v>1806</v>
      </c>
      <c r="Q274" s="37" t="s">
        <v>472</v>
      </c>
    </row>
    <row r="275" spans="1:17" ht="87.5">
      <c r="A275" s="37" t="s">
        <v>1148</v>
      </c>
      <c r="B275" s="37" t="s">
        <v>302</v>
      </c>
      <c r="C275" s="37" t="s">
        <v>931</v>
      </c>
      <c r="D275" s="37" t="s">
        <v>480</v>
      </c>
      <c r="E275" s="38"/>
      <c r="F275" s="37" t="s">
        <v>451</v>
      </c>
      <c r="G275" s="37" t="s">
        <v>554</v>
      </c>
      <c r="H275" s="37"/>
      <c r="I275" s="37">
        <v>7</v>
      </c>
      <c r="J275" s="37" t="s">
        <v>1149</v>
      </c>
      <c r="K275" s="37" t="s">
        <v>365</v>
      </c>
      <c r="L275" s="37" t="s">
        <v>366</v>
      </c>
      <c r="M275" s="37" t="s">
        <v>212</v>
      </c>
      <c r="N275" s="37" t="s">
        <v>224</v>
      </c>
      <c r="O275" s="37"/>
      <c r="P275" s="21" t="s">
        <v>1806</v>
      </c>
      <c r="Q275" s="37" t="s">
        <v>472</v>
      </c>
    </row>
    <row r="276" spans="1:17" ht="25">
      <c r="A276" s="37" t="s">
        <v>1150</v>
      </c>
      <c r="B276" s="37" t="s">
        <v>302</v>
      </c>
      <c r="C276" s="37" t="s">
        <v>779</v>
      </c>
      <c r="D276" s="37" t="s">
        <v>360</v>
      </c>
      <c r="E276" s="38" t="s">
        <v>1151</v>
      </c>
      <c r="F276" s="37" t="s">
        <v>362</v>
      </c>
      <c r="G276" s="37"/>
      <c r="H276" s="37" t="s">
        <v>1152</v>
      </c>
      <c r="I276" s="37">
        <v>3</v>
      </c>
      <c r="J276" s="37" t="s">
        <v>1153</v>
      </c>
      <c r="K276" s="37" t="s">
        <v>365</v>
      </c>
      <c r="L276" s="37" t="s">
        <v>366</v>
      </c>
      <c r="M276" s="37" t="s">
        <v>212</v>
      </c>
      <c r="N276" s="37" t="s">
        <v>224</v>
      </c>
      <c r="O276" s="37"/>
      <c r="P276" s="21" t="s">
        <v>1806</v>
      </c>
      <c r="Q276" s="37" t="s">
        <v>472</v>
      </c>
    </row>
    <row r="277" spans="1:17" ht="25">
      <c r="A277" s="37" t="s">
        <v>1154</v>
      </c>
      <c r="B277" s="37" t="s">
        <v>302</v>
      </c>
      <c r="C277" s="37" t="s">
        <v>450</v>
      </c>
      <c r="D277" s="37" t="s">
        <v>360</v>
      </c>
      <c r="E277" s="38">
        <v>22.3</v>
      </c>
      <c r="F277" s="37" t="s">
        <v>451</v>
      </c>
      <c r="G277" s="37" t="s">
        <v>452</v>
      </c>
      <c r="H277" s="37" t="s">
        <v>1155</v>
      </c>
      <c r="I277" s="37">
        <v>22</v>
      </c>
      <c r="J277" s="37" t="s">
        <v>1156</v>
      </c>
      <c r="K277" s="37" t="s">
        <v>365</v>
      </c>
      <c r="L277" s="37" t="s">
        <v>366</v>
      </c>
      <c r="M277" s="37" t="s">
        <v>212</v>
      </c>
      <c r="N277" s="37" t="s">
        <v>224</v>
      </c>
      <c r="O277" s="37"/>
      <c r="P277" s="21" t="s">
        <v>1806</v>
      </c>
      <c r="Q277" s="37" t="s">
        <v>472</v>
      </c>
    </row>
    <row r="278" spans="1:17" ht="25">
      <c r="A278" s="37" t="s">
        <v>1157</v>
      </c>
      <c r="B278" s="37" t="s">
        <v>302</v>
      </c>
      <c r="C278" s="37" t="s">
        <v>456</v>
      </c>
      <c r="D278" s="37" t="s">
        <v>360</v>
      </c>
      <c r="E278" s="38" t="s">
        <v>1158</v>
      </c>
      <c r="F278" s="37" t="s">
        <v>362</v>
      </c>
      <c r="G278" s="37" t="s">
        <v>458</v>
      </c>
      <c r="H278" s="37" t="s">
        <v>1158</v>
      </c>
      <c r="I278" s="37">
        <v>31</v>
      </c>
      <c r="J278" s="37" t="s">
        <v>1159</v>
      </c>
      <c r="K278" s="37" t="s">
        <v>365</v>
      </c>
      <c r="L278" s="37" t="s">
        <v>366</v>
      </c>
      <c r="M278" s="37" t="s">
        <v>212</v>
      </c>
      <c r="N278" s="37" t="s">
        <v>224</v>
      </c>
      <c r="O278" s="37"/>
      <c r="P278" s="21" t="s">
        <v>1806</v>
      </c>
      <c r="Q278" s="37" t="s">
        <v>472</v>
      </c>
    </row>
    <row r="279" spans="1:17" ht="25">
      <c r="A279" s="37" t="s">
        <v>1160</v>
      </c>
      <c r="B279" s="37" t="s">
        <v>302</v>
      </c>
      <c r="C279" s="37" t="s">
        <v>462</v>
      </c>
      <c r="D279" s="37" t="s">
        <v>360</v>
      </c>
      <c r="E279" s="38" t="s">
        <v>895</v>
      </c>
      <c r="F279" s="37" t="s">
        <v>362</v>
      </c>
      <c r="G279" s="37" t="s">
        <v>464</v>
      </c>
      <c r="H279" s="37" t="s">
        <v>895</v>
      </c>
      <c r="I279" s="37">
        <v>34</v>
      </c>
      <c r="J279" s="37" t="s">
        <v>1109</v>
      </c>
      <c r="K279" s="37" t="s">
        <v>365</v>
      </c>
      <c r="L279" s="37" t="s">
        <v>366</v>
      </c>
      <c r="M279" s="37" t="s">
        <v>212</v>
      </c>
      <c r="N279" s="37" t="s">
        <v>224</v>
      </c>
      <c r="O279" s="37"/>
      <c r="P279" s="21" t="s">
        <v>1806</v>
      </c>
      <c r="Q279" s="37" t="s">
        <v>472</v>
      </c>
    </row>
    <row r="280" spans="1:17" ht="25">
      <c r="A280" s="37" t="s">
        <v>1161</v>
      </c>
      <c r="B280" s="37" t="s">
        <v>307</v>
      </c>
      <c r="C280" s="37" t="s">
        <v>625</v>
      </c>
      <c r="D280" s="37" t="s">
        <v>360</v>
      </c>
      <c r="E280" s="38" t="s">
        <v>1162</v>
      </c>
      <c r="F280" s="37" t="s">
        <v>362</v>
      </c>
      <c r="G280" s="37"/>
      <c r="H280" s="37" t="s">
        <v>1163</v>
      </c>
      <c r="I280" s="37">
        <v>3</v>
      </c>
      <c r="J280" s="37" t="s">
        <v>1164</v>
      </c>
      <c r="K280" s="37" t="s">
        <v>365</v>
      </c>
      <c r="L280" s="37" t="s">
        <v>366</v>
      </c>
      <c r="M280" s="37" t="s">
        <v>211</v>
      </c>
      <c r="N280" s="37" t="s">
        <v>224</v>
      </c>
      <c r="O280" s="37"/>
      <c r="P280" s="21" t="s">
        <v>1806</v>
      </c>
      <c r="Q280" s="37" t="s">
        <v>472</v>
      </c>
    </row>
    <row r="281" spans="1:17" ht="25">
      <c r="A281" s="37" t="s">
        <v>1165</v>
      </c>
      <c r="B281" s="37" t="s">
        <v>307</v>
      </c>
      <c r="C281" s="37" t="s">
        <v>723</v>
      </c>
      <c r="D281" s="37" t="s">
        <v>360</v>
      </c>
      <c r="E281" s="38" t="s">
        <v>1166</v>
      </c>
      <c r="F281" s="37" t="s">
        <v>362</v>
      </c>
      <c r="G281" s="37"/>
      <c r="H281" s="37" t="s">
        <v>1167</v>
      </c>
      <c r="I281" s="37">
        <v>3</v>
      </c>
      <c r="J281" s="37" t="s">
        <v>1168</v>
      </c>
      <c r="K281" s="37" t="s">
        <v>365</v>
      </c>
      <c r="L281" s="37" t="s">
        <v>366</v>
      </c>
      <c r="M281" s="37" t="s">
        <v>211</v>
      </c>
      <c r="N281" s="37" t="s">
        <v>224</v>
      </c>
      <c r="O281" s="37"/>
      <c r="P281" s="21" t="s">
        <v>1806</v>
      </c>
      <c r="Q281" s="37" t="s">
        <v>472</v>
      </c>
    </row>
    <row r="282" spans="1:17" ht="25">
      <c r="A282" s="37" t="s">
        <v>1169</v>
      </c>
      <c r="B282" s="37" t="s">
        <v>307</v>
      </c>
      <c r="C282" s="37" t="s">
        <v>1170</v>
      </c>
      <c r="D282" s="37" t="s">
        <v>360</v>
      </c>
      <c r="E282" s="38" t="s">
        <v>1171</v>
      </c>
      <c r="F282" s="37" t="s">
        <v>362</v>
      </c>
      <c r="G282" s="37"/>
      <c r="H282" s="37" t="s">
        <v>1171</v>
      </c>
      <c r="I282" s="37">
        <v>3</v>
      </c>
      <c r="J282" s="37" t="s">
        <v>1172</v>
      </c>
      <c r="K282" s="37" t="s">
        <v>365</v>
      </c>
      <c r="L282" s="37" t="s">
        <v>366</v>
      </c>
      <c r="M282" s="37" t="s">
        <v>211</v>
      </c>
      <c r="N282" s="37" t="s">
        <v>224</v>
      </c>
      <c r="O282" s="37"/>
      <c r="P282" s="21" t="s">
        <v>1806</v>
      </c>
      <c r="Q282" s="37" t="s">
        <v>472</v>
      </c>
    </row>
    <row r="283" spans="1:17" ht="25">
      <c r="A283" s="37" t="s">
        <v>1173</v>
      </c>
      <c r="B283" s="37" t="s">
        <v>307</v>
      </c>
      <c r="C283" s="37" t="s">
        <v>1174</v>
      </c>
      <c r="D283" s="37" t="s">
        <v>360</v>
      </c>
      <c r="E283" s="38" t="s">
        <v>1175</v>
      </c>
      <c r="F283" s="37" t="s">
        <v>362</v>
      </c>
      <c r="G283" s="37"/>
      <c r="H283" s="37" t="s">
        <v>1176</v>
      </c>
      <c r="I283" s="37">
        <v>3</v>
      </c>
      <c r="J283" s="37" t="s">
        <v>1177</v>
      </c>
      <c r="K283" s="37" t="s">
        <v>365</v>
      </c>
      <c r="L283" s="37" t="s">
        <v>366</v>
      </c>
      <c r="M283" s="37" t="s">
        <v>211</v>
      </c>
      <c r="N283" s="37" t="s">
        <v>224</v>
      </c>
      <c r="O283" s="37"/>
      <c r="P283" s="21" t="s">
        <v>1806</v>
      </c>
      <c r="Q283" s="37" t="s">
        <v>472</v>
      </c>
    </row>
    <row r="284" spans="1:17" ht="25">
      <c r="A284" s="37" t="s">
        <v>1178</v>
      </c>
      <c r="B284" s="37" t="s">
        <v>307</v>
      </c>
      <c r="C284" s="37" t="s">
        <v>1179</v>
      </c>
      <c r="D284" s="37" t="s">
        <v>360</v>
      </c>
      <c r="E284" s="38">
        <v>90</v>
      </c>
      <c r="F284" s="37" t="s">
        <v>451</v>
      </c>
      <c r="G284" s="37" t="s">
        <v>452</v>
      </c>
      <c r="H284" s="37" t="s">
        <v>1180</v>
      </c>
      <c r="I284" s="37">
        <v>3</v>
      </c>
      <c r="J284" s="37" t="s">
        <v>1181</v>
      </c>
      <c r="K284" s="37" t="s">
        <v>365</v>
      </c>
      <c r="L284" s="37" t="s">
        <v>366</v>
      </c>
      <c r="M284" s="37" t="s">
        <v>211</v>
      </c>
      <c r="N284" s="37" t="s">
        <v>224</v>
      </c>
      <c r="O284" s="37"/>
      <c r="P284" s="21" t="s">
        <v>1806</v>
      </c>
      <c r="Q284" s="37" t="s">
        <v>472</v>
      </c>
    </row>
    <row r="285" spans="1:17" ht="25">
      <c r="A285" s="37" t="s">
        <v>1182</v>
      </c>
      <c r="B285" s="37" t="s">
        <v>307</v>
      </c>
      <c r="C285" s="37" t="s">
        <v>635</v>
      </c>
      <c r="D285" s="37" t="s">
        <v>360</v>
      </c>
      <c r="E285" s="38">
        <v>10</v>
      </c>
      <c r="F285" s="37" t="s">
        <v>451</v>
      </c>
      <c r="G285" s="37" t="s">
        <v>554</v>
      </c>
      <c r="H285" s="37" t="s">
        <v>1183</v>
      </c>
      <c r="I285" s="37">
        <v>1</v>
      </c>
      <c r="J285" s="37" t="s">
        <v>1184</v>
      </c>
      <c r="K285" s="37" t="s">
        <v>365</v>
      </c>
      <c r="L285" s="37" t="s">
        <v>366</v>
      </c>
      <c r="M285" s="37" t="s">
        <v>211</v>
      </c>
      <c r="N285" s="37" t="s">
        <v>224</v>
      </c>
      <c r="O285" s="37"/>
      <c r="P285" s="21" t="s">
        <v>1806</v>
      </c>
      <c r="Q285" s="37" t="s">
        <v>472</v>
      </c>
    </row>
    <row r="286" spans="1:17" ht="25">
      <c r="A286" s="37" t="s">
        <v>1185</v>
      </c>
      <c r="B286" s="37" t="s">
        <v>307</v>
      </c>
      <c r="C286" s="37" t="s">
        <v>654</v>
      </c>
      <c r="D286" s="37" t="s">
        <v>480</v>
      </c>
      <c r="E286" s="38"/>
      <c r="F286" s="37" t="s">
        <v>362</v>
      </c>
      <c r="G286" s="37"/>
      <c r="H286" s="37"/>
      <c r="I286" s="37"/>
      <c r="J286" s="37"/>
      <c r="K286" s="37" t="s">
        <v>365</v>
      </c>
      <c r="L286" s="37"/>
      <c r="M286" s="37" t="s">
        <v>212</v>
      </c>
      <c r="N286" s="37" t="s">
        <v>224</v>
      </c>
      <c r="O286" s="37"/>
      <c r="P286" s="21" t="s">
        <v>1806</v>
      </c>
      <c r="Q286" s="37" t="s">
        <v>482</v>
      </c>
    </row>
    <row r="287" spans="1:17" ht="25">
      <c r="A287" s="37" t="s">
        <v>1186</v>
      </c>
      <c r="B287" s="37" t="s">
        <v>307</v>
      </c>
      <c r="C287" s="37" t="s">
        <v>456</v>
      </c>
      <c r="D287" s="37" t="s">
        <v>360</v>
      </c>
      <c r="E287" s="38" t="s">
        <v>1187</v>
      </c>
      <c r="F287" s="37" t="s">
        <v>362</v>
      </c>
      <c r="G287" s="37" t="s">
        <v>458</v>
      </c>
      <c r="H287" s="37" t="s">
        <v>1187</v>
      </c>
      <c r="I287" s="37">
        <v>3</v>
      </c>
      <c r="J287" s="37" t="s">
        <v>1188</v>
      </c>
      <c r="K287" s="37" t="s">
        <v>365</v>
      </c>
      <c r="L287" s="37" t="s">
        <v>366</v>
      </c>
      <c r="M287" s="37" t="s">
        <v>212</v>
      </c>
      <c r="N287" s="37" t="s">
        <v>224</v>
      </c>
      <c r="O287" s="37"/>
      <c r="P287" s="21" t="s">
        <v>1806</v>
      </c>
      <c r="Q287" s="37" t="s">
        <v>472</v>
      </c>
    </row>
    <row r="288" spans="1:17" ht="25">
      <c r="A288" s="37" t="s">
        <v>1189</v>
      </c>
      <c r="B288" s="37" t="s">
        <v>307</v>
      </c>
      <c r="C288" s="37" t="s">
        <v>462</v>
      </c>
      <c r="D288" s="37" t="s">
        <v>360</v>
      </c>
      <c r="E288" s="38" t="s">
        <v>1190</v>
      </c>
      <c r="F288" s="37" t="s">
        <v>362</v>
      </c>
      <c r="G288" s="37" t="s">
        <v>464</v>
      </c>
      <c r="H288" s="37" t="s">
        <v>1190</v>
      </c>
      <c r="I288" s="37">
        <v>3</v>
      </c>
      <c r="J288" s="37" t="s">
        <v>1191</v>
      </c>
      <c r="K288" s="37" t="s">
        <v>365</v>
      </c>
      <c r="L288" s="37" t="s">
        <v>366</v>
      </c>
      <c r="M288" s="37" t="s">
        <v>212</v>
      </c>
      <c r="N288" s="37" t="s">
        <v>224</v>
      </c>
      <c r="O288" s="37"/>
      <c r="P288" s="21" t="s">
        <v>1806</v>
      </c>
      <c r="Q288" s="37" t="s">
        <v>472</v>
      </c>
    </row>
    <row r="289" spans="1:17" ht="25">
      <c r="A289" s="37" t="s">
        <v>1192</v>
      </c>
      <c r="B289" s="37" t="s">
        <v>313</v>
      </c>
      <c r="C289" s="37" t="s">
        <v>468</v>
      </c>
      <c r="D289" s="37" t="s">
        <v>360</v>
      </c>
      <c r="E289" s="38" t="s">
        <v>1193</v>
      </c>
      <c r="F289" s="37" t="s">
        <v>362</v>
      </c>
      <c r="G289" s="37"/>
      <c r="H289" s="37" t="s">
        <v>1194</v>
      </c>
      <c r="I289" s="37">
        <v>5</v>
      </c>
      <c r="J289" s="37" t="s">
        <v>1195</v>
      </c>
      <c r="K289" s="37" t="s">
        <v>365</v>
      </c>
      <c r="L289" s="37" t="s">
        <v>366</v>
      </c>
      <c r="M289" s="37" t="s">
        <v>211</v>
      </c>
      <c r="N289" s="37" t="s">
        <v>224</v>
      </c>
      <c r="O289" s="37"/>
      <c r="P289" s="21" t="s">
        <v>1806</v>
      </c>
      <c r="Q289" s="37" t="s">
        <v>472</v>
      </c>
    </row>
    <row r="290" spans="1:17" ht="25">
      <c r="A290" s="37" t="s">
        <v>1196</v>
      </c>
      <c r="B290" s="37" t="s">
        <v>313</v>
      </c>
      <c r="C290" s="37" t="s">
        <v>474</v>
      </c>
      <c r="D290" s="37" t="s">
        <v>360</v>
      </c>
      <c r="E290" s="38" t="s">
        <v>1197</v>
      </c>
      <c r="F290" s="37" t="s">
        <v>362</v>
      </c>
      <c r="G290" s="37"/>
      <c r="H290" s="37" t="s">
        <v>1198</v>
      </c>
      <c r="I290" s="37">
        <v>5</v>
      </c>
      <c r="J290" s="37" t="s">
        <v>1199</v>
      </c>
      <c r="K290" s="37" t="s">
        <v>365</v>
      </c>
      <c r="L290" s="37" t="s">
        <v>366</v>
      </c>
      <c r="M290" s="37" t="s">
        <v>211</v>
      </c>
      <c r="N290" s="37" t="s">
        <v>224</v>
      </c>
      <c r="O290" s="37"/>
      <c r="P290" s="21" t="s">
        <v>1806</v>
      </c>
      <c r="Q290" s="37" t="s">
        <v>472</v>
      </c>
    </row>
    <row r="291" spans="1:17" ht="25">
      <c r="A291" s="37" t="s">
        <v>1200</v>
      </c>
      <c r="B291" s="37" t="s">
        <v>313</v>
      </c>
      <c r="C291" s="37" t="s">
        <v>479</v>
      </c>
      <c r="D291" s="37" t="s">
        <v>360</v>
      </c>
      <c r="E291" s="38">
        <v>700</v>
      </c>
      <c r="F291" s="37" t="s">
        <v>451</v>
      </c>
      <c r="G291" s="37" t="s">
        <v>375</v>
      </c>
      <c r="H291" s="37" t="s">
        <v>1201</v>
      </c>
      <c r="I291" s="37">
        <v>9</v>
      </c>
      <c r="J291" s="37" t="s">
        <v>1202</v>
      </c>
      <c r="K291" s="37" t="s">
        <v>365</v>
      </c>
      <c r="L291" s="37" t="s">
        <v>366</v>
      </c>
      <c r="M291" s="37" t="s">
        <v>211</v>
      </c>
      <c r="N291" s="37" t="s">
        <v>224</v>
      </c>
      <c r="O291" s="37"/>
      <c r="P291" s="21" t="s">
        <v>1806</v>
      </c>
      <c r="Q291" s="37" t="s">
        <v>472</v>
      </c>
    </row>
    <row r="292" spans="1:17" ht="25">
      <c r="A292" s="37" t="s">
        <v>1203</v>
      </c>
      <c r="B292" s="37" t="s">
        <v>313</v>
      </c>
      <c r="C292" s="37" t="s">
        <v>484</v>
      </c>
      <c r="D292" s="37" t="s">
        <v>480</v>
      </c>
      <c r="E292" s="38"/>
      <c r="F292" s="37" t="s">
        <v>451</v>
      </c>
      <c r="G292" s="37" t="s">
        <v>375</v>
      </c>
      <c r="H292" s="37" t="s">
        <v>481</v>
      </c>
      <c r="I292" s="37"/>
      <c r="J292" s="37"/>
      <c r="K292" s="37" t="s">
        <v>365</v>
      </c>
      <c r="L292" s="37"/>
      <c r="M292" s="37" t="s">
        <v>211</v>
      </c>
      <c r="N292" s="37" t="s">
        <v>224</v>
      </c>
      <c r="O292" s="37"/>
      <c r="P292" s="21" t="s">
        <v>1806</v>
      </c>
      <c r="Q292" s="37" t="s">
        <v>482</v>
      </c>
    </row>
    <row r="293" spans="1:17" ht="25">
      <c r="A293" s="37" t="s">
        <v>1204</v>
      </c>
      <c r="B293" s="37" t="s">
        <v>313</v>
      </c>
      <c r="C293" s="37" t="s">
        <v>486</v>
      </c>
      <c r="D293" s="37" t="s">
        <v>360</v>
      </c>
      <c r="E293" s="38">
        <v>24</v>
      </c>
      <c r="F293" s="37" t="s">
        <v>451</v>
      </c>
      <c r="G293" s="37" t="s">
        <v>375</v>
      </c>
      <c r="H293" s="37" t="s">
        <v>1205</v>
      </c>
      <c r="I293" s="37">
        <v>17</v>
      </c>
      <c r="J293" s="37" t="s">
        <v>1206</v>
      </c>
      <c r="K293" s="37" t="s">
        <v>1207</v>
      </c>
      <c r="L293" s="37" t="s">
        <v>366</v>
      </c>
      <c r="M293" s="37" t="s">
        <v>211</v>
      </c>
      <c r="N293" s="37" t="s">
        <v>224</v>
      </c>
      <c r="O293" s="37"/>
      <c r="P293" s="21" t="s">
        <v>1806</v>
      </c>
      <c r="Q293" s="37" t="s">
        <v>472</v>
      </c>
    </row>
    <row r="294" spans="1:17" ht="25">
      <c r="A294" s="37" t="s">
        <v>1208</v>
      </c>
      <c r="B294" s="37" t="s">
        <v>313</v>
      </c>
      <c r="C294" s="37" t="s">
        <v>488</v>
      </c>
      <c r="D294" s="37" t="s">
        <v>360</v>
      </c>
      <c r="E294" s="38">
        <v>12000</v>
      </c>
      <c r="F294" s="37" t="s">
        <v>370</v>
      </c>
      <c r="G294" s="37"/>
      <c r="H294" s="37" t="s">
        <v>1209</v>
      </c>
      <c r="I294" s="37">
        <v>9</v>
      </c>
      <c r="J294" s="37" t="s">
        <v>1210</v>
      </c>
      <c r="K294" s="37" t="s">
        <v>365</v>
      </c>
      <c r="L294" s="37" t="s">
        <v>366</v>
      </c>
      <c r="M294" s="37" t="s">
        <v>211</v>
      </c>
      <c r="N294" s="37" t="s">
        <v>224</v>
      </c>
      <c r="O294" s="37"/>
      <c r="P294" s="21" t="s">
        <v>1806</v>
      </c>
      <c r="Q294" s="37" t="s">
        <v>472</v>
      </c>
    </row>
    <row r="295" spans="1:17" ht="25">
      <c r="A295" s="37" t="s">
        <v>1211</v>
      </c>
      <c r="B295" s="37" t="s">
        <v>313</v>
      </c>
      <c r="C295" s="37" t="s">
        <v>492</v>
      </c>
      <c r="D295" s="37" t="s">
        <v>360</v>
      </c>
      <c r="E295" s="38" t="s">
        <v>1212</v>
      </c>
      <c r="F295" s="37" t="s">
        <v>362</v>
      </c>
      <c r="G295" s="37"/>
      <c r="H295" s="37" t="s">
        <v>1213</v>
      </c>
      <c r="I295" s="37">
        <v>17</v>
      </c>
      <c r="J295" s="37" t="s">
        <v>1214</v>
      </c>
      <c r="K295" s="37" t="s">
        <v>365</v>
      </c>
      <c r="L295" s="37" t="s">
        <v>366</v>
      </c>
      <c r="M295" s="37" t="s">
        <v>211</v>
      </c>
      <c r="N295" s="37" t="s">
        <v>224</v>
      </c>
      <c r="O295" s="37"/>
      <c r="P295" s="21" t="s">
        <v>1806</v>
      </c>
      <c r="Q295" s="37" t="s">
        <v>472</v>
      </c>
    </row>
    <row r="296" spans="1:17" ht="25">
      <c r="A296" s="37" t="s">
        <v>1215</v>
      </c>
      <c r="B296" s="37" t="s">
        <v>313</v>
      </c>
      <c r="C296" s="37" t="s">
        <v>1216</v>
      </c>
      <c r="D296" s="37" t="s">
        <v>360</v>
      </c>
      <c r="E296" s="38" t="s">
        <v>1217</v>
      </c>
      <c r="F296" s="37" t="s">
        <v>362</v>
      </c>
      <c r="G296" s="37"/>
      <c r="H296" s="37" t="s">
        <v>1217</v>
      </c>
      <c r="I296" s="37">
        <v>5</v>
      </c>
      <c r="J296" s="37" t="s">
        <v>1218</v>
      </c>
      <c r="K296" s="37" t="s">
        <v>365</v>
      </c>
      <c r="L296" s="37" t="s">
        <v>366</v>
      </c>
      <c r="M296" s="37" t="s">
        <v>211</v>
      </c>
      <c r="N296" s="37" t="s">
        <v>224</v>
      </c>
      <c r="O296" s="37"/>
      <c r="P296" s="21" t="s">
        <v>1806</v>
      </c>
      <c r="Q296" s="37" t="s">
        <v>472</v>
      </c>
    </row>
    <row r="297" spans="1:17" ht="25">
      <c r="A297" s="37" t="s">
        <v>1219</v>
      </c>
      <c r="B297" s="37" t="s">
        <v>313</v>
      </c>
      <c r="C297" s="37" t="s">
        <v>1220</v>
      </c>
      <c r="D297" s="37" t="s">
        <v>360</v>
      </c>
      <c r="E297" s="38" t="s">
        <v>361</v>
      </c>
      <c r="F297" s="37" t="s">
        <v>362</v>
      </c>
      <c r="G297" s="37"/>
      <c r="H297" s="37" t="s">
        <v>1221</v>
      </c>
      <c r="I297" s="37">
        <v>5</v>
      </c>
      <c r="J297" s="37" t="s">
        <v>1222</v>
      </c>
      <c r="K297" s="37" t="s">
        <v>365</v>
      </c>
      <c r="L297" s="37" t="s">
        <v>366</v>
      </c>
      <c r="M297" s="37" t="s">
        <v>211</v>
      </c>
      <c r="N297" s="37" t="s">
        <v>224</v>
      </c>
      <c r="O297" s="37"/>
      <c r="P297" s="21" t="s">
        <v>1806</v>
      </c>
      <c r="Q297" s="37" t="s">
        <v>472</v>
      </c>
    </row>
    <row r="298" spans="1:17" ht="25">
      <c r="A298" s="37" t="s">
        <v>1223</v>
      </c>
      <c r="B298" s="37" t="s">
        <v>313</v>
      </c>
      <c r="C298" s="37" t="s">
        <v>1224</v>
      </c>
      <c r="D298" s="37" t="s">
        <v>360</v>
      </c>
      <c r="E298" s="38">
        <v>1266</v>
      </c>
      <c r="F298" s="37" t="s">
        <v>451</v>
      </c>
      <c r="G298" s="37" t="s">
        <v>375</v>
      </c>
      <c r="H298" s="37" t="s">
        <v>1225</v>
      </c>
      <c r="I298" s="37">
        <v>7</v>
      </c>
      <c r="J298" s="37" t="s">
        <v>1226</v>
      </c>
      <c r="K298" s="37" t="s">
        <v>365</v>
      </c>
      <c r="L298" s="37" t="s">
        <v>366</v>
      </c>
      <c r="M298" s="37" t="s">
        <v>211</v>
      </c>
      <c r="N298" s="37" t="s">
        <v>224</v>
      </c>
      <c r="O298" s="37"/>
      <c r="P298" s="21" t="s">
        <v>1806</v>
      </c>
      <c r="Q298" s="37" t="s">
        <v>472</v>
      </c>
    </row>
    <row r="299" spans="1:17" ht="25">
      <c r="A299" s="37" t="s">
        <v>1227</v>
      </c>
      <c r="B299" s="37" t="s">
        <v>313</v>
      </c>
      <c r="C299" s="37" t="s">
        <v>512</v>
      </c>
      <c r="D299" s="37" t="s">
        <v>360</v>
      </c>
      <c r="E299" s="38" t="s">
        <v>1228</v>
      </c>
      <c r="F299" s="37" t="s">
        <v>362</v>
      </c>
      <c r="G299" s="37"/>
      <c r="H299" s="37" t="s">
        <v>1228</v>
      </c>
      <c r="I299" s="37">
        <v>1</v>
      </c>
      <c r="J299" s="37" t="s">
        <v>1229</v>
      </c>
      <c r="K299" s="37" t="s">
        <v>365</v>
      </c>
      <c r="L299" s="37" t="s">
        <v>366</v>
      </c>
      <c r="M299" s="37" t="s">
        <v>212</v>
      </c>
      <c r="N299" s="37" t="s">
        <v>224</v>
      </c>
      <c r="O299" s="37"/>
      <c r="P299" s="21" t="s">
        <v>1806</v>
      </c>
      <c r="Q299" s="37" t="s">
        <v>472</v>
      </c>
    </row>
    <row r="300" spans="1:17" ht="25">
      <c r="A300" s="37" t="s">
        <v>1230</v>
      </c>
      <c r="B300" s="37" t="s">
        <v>313</v>
      </c>
      <c r="C300" s="37" t="s">
        <v>450</v>
      </c>
      <c r="D300" s="37" t="s">
        <v>360</v>
      </c>
      <c r="E300" s="38">
        <v>15</v>
      </c>
      <c r="F300" s="37" t="s">
        <v>451</v>
      </c>
      <c r="G300" s="37" t="s">
        <v>452</v>
      </c>
      <c r="H300" s="37" t="s">
        <v>1231</v>
      </c>
      <c r="I300" s="37">
        <v>8</v>
      </c>
      <c r="J300" s="37" t="s">
        <v>1232</v>
      </c>
      <c r="K300" s="37" t="s">
        <v>365</v>
      </c>
      <c r="L300" s="37" t="s">
        <v>366</v>
      </c>
      <c r="M300" s="37" t="s">
        <v>212</v>
      </c>
      <c r="N300" s="37" t="s">
        <v>224</v>
      </c>
      <c r="O300" s="37"/>
      <c r="P300" s="21" t="s">
        <v>1806</v>
      </c>
      <c r="Q300" s="37" t="s">
        <v>472</v>
      </c>
    </row>
    <row r="301" spans="1:17" ht="25">
      <c r="A301" s="37" t="s">
        <v>1233</v>
      </c>
      <c r="B301" s="37" t="s">
        <v>313</v>
      </c>
      <c r="C301" s="37" t="s">
        <v>456</v>
      </c>
      <c r="D301" s="37" t="s">
        <v>360</v>
      </c>
      <c r="E301" s="38" t="s">
        <v>1234</v>
      </c>
      <c r="F301" s="37" t="s">
        <v>362</v>
      </c>
      <c r="G301" s="37" t="s">
        <v>458</v>
      </c>
      <c r="H301" s="37" t="s">
        <v>1235</v>
      </c>
      <c r="I301" s="37">
        <v>8</v>
      </c>
      <c r="J301" s="37" t="s">
        <v>1236</v>
      </c>
      <c r="K301" s="37" t="s">
        <v>365</v>
      </c>
      <c r="L301" s="37" t="s">
        <v>366</v>
      </c>
      <c r="M301" s="37" t="s">
        <v>212</v>
      </c>
      <c r="N301" s="37" t="s">
        <v>224</v>
      </c>
      <c r="O301" s="37"/>
      <c r="P301" s="21" t="s">
        <v>1806</v>
      </c>
      <c r="Q301" s="37" t="s">
        <v>472</v>
      </c>
    </row>
    <row r="302" spans="1:17" ht="25">
      <c r="A302" s="37" t="s">
        <v>1237</v>
      </c>
      <c r="B302" s="37" t="s">
        <v>313</v>
      </c>
      <c r="C302" s="37" t="s">
        <v>462</v>
      </c>
      <c r="D302" s="37" t="s">
        <v>360</v>
      </c>
      <c r="E302" s="38" t="s">
        <v>463</v>
      </c>
      <c r="F302" s="37" t="s">
        <v>362</v>
      </c>
      <c r="G302" s="37" t="s">
        <v>464</v>
      </c>
      <c r="H302" s="37" t="s">
        <v>463</v>
      </c>
      <c r="I302" s="37">
        <v>8</v>
      </c>
      <c r="J302" s="37" t="s">
        <v>598</v>
      </c>
      <c r="K302" s="37" t="s">
        <v>365</v>
      </c>
      <c r="L302" s="37" t="s">
        <v>366</v>
      </c>
      <c r="M302" s="37" t="s">
        <v>212</v>
      </c>
      <c r="N302" s="37" t="s">
        <v>224</v>
      </c>
      <c r="O302" s="37"/>
      <c r="P302" s="21" t="s">
        <v>1806</v>
      </c>
      <c r="Q302" s="37" t="s">
        <v>472</v>
      </c>
    </row>
    <row r="303" spans="1:17" ht="25">
      <c r="A303" s="37" t="s">
        <v>1238</v>
      </c>
      <c r="B303" s="37" t="s">
        <v>317</v>
      </c>
      <c r="C303" s="37" t="s">
        <v>396</v>
      </c>
      <c r="D303" s="37" t="s">
        <v>360</v>
      </c>
      <c r="E303" s="38" t="s">
        <v>1239</v>
      </c>
      <c r="F303" s="37" t="s">
        <v>362</v>
      </c>
      <c r="G303" s="37"/>
      <c r="H303" s="37" t="s">
        <v>1239</v>
      </c>
      <c r="I303" s="37">
        <v>5</v>
      </c>
      <c r="J303" s="37" t="s">
        <v>1240</v>
      </c>
      <c r="K303" s="37" t="s">
        <v>365</v>
      </c>
      <c r="L303" s="37" t="s">
        <v>366</v>
      </c>
      <c r="M303" s="37" t="s">
        <v>211</v>
      </c>
      <c r="N303" s="37" t="s">
        <v>224</v>
      </c>
      <c r="O303" s="37"/>
      <c r="P303" s="21" t="s">
        <v>1806</v>
      </c>
      <c r="Q303" s="37" t="s">
        <v>472</v>
      </c>
    </row>
    <row r="304" spans="1:17" ht="25">
      <c r="A304" s="37" t="s">
        <v>1241</v>
      </c>
      <c r="B304" s="37" t="s">
        <v>317</v>
      </c>
      <c r="C304" s="37" t="s">
        <v>550</v>
      </c>
      <c r="D304" s="37" t="s">
        <v>360</v>
      </c>
      <c r="E304" s="38" t="s">
        <v>1242</v>
      </c>
      <c r="F304" s="37" t="s">
        <v>362</v>
      </c>
      <c r="G304" s="37"/>
      <c r="H304" s="37" t="s">
        <v>1242</v>
      </c>
      <c r="I304" s="37">
        <v>5</v>
      </c>
      <c r="J304" s="37" t="s">
        <v>1243</v>
      </c>
      <c r="K304" s="37" t="s">
        <v>365</v>
      </c>
      <c r="L304" s="37" t="s">
        <v>366</v>
      </c>
      <c r="M304" s="37" t="s">
        <v>211</v>
      </c>
      <c r="N304" s="37" t="s">
        <v>224</v>
      </c>
      <c r="O304" s="37"/>
      <c r="P304" s="21" t="s">
        <v>1806</v>
      </c>
      <c r="Q304" s="37" t="s">
        <v>472</v>
      </c>
    </row>
    <row r="305" spans="1:17" ht="25">
      <c r="A305" s="37" t="s">
        <v>1244</v>
      </c>
      <c r="B305" s="37" t="s">
        <v>317</v>
      </c>
      <c r="C305" s="37" t="s">
        <v>553</v>
      </c>
      <c r="D305" s="37" t="s">
        <v>360</v>
      </c>
      <c r="E305" s="38">
        <v>36</v>
      </c>
      <c r="F305" s="37" t="s">
        <v>451</v>
      </c>
      <c r="G305" s="37" t="s">
        <v>554</v>
      </c>
      <c r="H305" s="37" t="s">
        <v>1245</v>
      </c>
      <c r="I305" s="37">
        <v>6</v>
      </c>
      <c r="J305" s="37" t="s">
        <v>1246</v>
      </c>
      <c r="K305" s="37" t="s">
        <v>365</v>
      </c>
      <c r="L305" s="37" t="s">
        <v>366</v>
      </c>
      <c r="M305" s="37" t="s">
        <v>211</v>
      </c>
      <c r="N305" s="37" t="s">
        <v>224</v>
      </c>
      <c r="O305" s="37"/>
      <c r="P305" s="21" t="s">
        <v>1806</v>
      </c>
      <c r="Q305" s="37" t="s">
        <v>472</v>
      </c>
    </row>
    <row r="306" spans="1:17" ht="25">
      <c r="A306" s="37" t="s">
        <v>1247</v>
      </c>
      <c r="B306" s="37" t="s">
        <v>317</v>
      </c>
      <c r="C306" s="37" t="s">
        <v>558</v>
      </c>
      <c r="D306" s="37" t="s">
        <v>360</v>
      </c>
      <c r="E306" s="38">
        <v>26.8</v>
      </c>
      <c r="F306" s="37" t="s">
        <v>451</v>
      </c>
      <c r="G306" s="37" t="s">
        <v>559</v>
      </c>
      <c r="H306" s="37" t="s">
        <v>1248</v>
      </c>
      <c r="I306" s="37">
        <v>6</v>
      </c>
      <c r="J306" s="37" t="s">
        <v>1249</v>
      </c>
      <c r="K306" s="37" t="s">
        <v>365</v>
      </c>
      <c r="L306" s="37" t="s">
        <v>366</v>
      </c>
      <c r="M306" s="37" t="s">
        <v>211</v>
      </c>
      <c r="N306" s="37" t="s">
        <v>224</v>
      </c>
      <c r="O306" s="37"/>
      <c r="P306" s="21" t="s">
        <v>1806</v>
      </c>
      <c r="Q306" s="37" t="s">
        <v>472</v>
      </c>
    </row>
    <row r="307" spans="1:17" ht="25">
      <c r="A307" s="37" t="s">
        <v>1250</v>
      </c>
      <c r="B307" s="37" t="s">
        <v>317</v>
      </c>
      <c r="C307" s="37" t="s">
        <v>564</v>
      </c>
      <c r="D307" s="37" t="s">
        <v>360</v>
      </c>
      <c r="E307" s="38" t="s">
        <v>1251</v>
      </c>
      <c r="F307" s="37" t="s">
        <v>362</v>
      </c>
      <c r="G307" s="37"/>
      <c r="H307" s="37" t="s">
        <v>1252</v>
      </c>
      <c r="I307" s="37">
        <v>5</v>
      </c>
      <c r="J307" s="37" t="s">
        <v>1253</v>
      </c>
      <c r="K307" s="37" t="s">
        <v>365</v>
      </c>
      <c r="L307" s="37" t="s">
        <v>366</v>
      </c>
      <c r="M307" s="37" t="s">
        <v>211</v>
      </c>
      <c r="N307" s="37" t="s">
        <v>224</v>
      </c>
      <c r="O307" s="37"/>
      <c r="P307" s="21" t="s">
        <v>1806</v>
      </c>
      <c r="Q307" s="37" t="s">
        <v>472</v>
      </c>
    </row>
    <row r="308" spans="1:17" ht="25">
      <c r="A308" s="37" t="s">
        <v>1254</v>
      </c>
      <c r="B308" s="37" t="s">
        <v>317</v>
      </c>
      <c r="C308" s="37" t="s">
        <v>567</v>
      </c>
      <c r="D308" s="37" t="s">
        <v>360</v>
      </c>
      <c r="E308" s="38">
        <v>16</v>
      </c>
      <c r="F308" s="37" t="s">
        <v>370</v>
      </c>
      <c r="G308" s="37"/>
      <c r="H308" s="37" t="s">
        <v>1255</v>
      </c>
      <c r="I308" s="37">
        <v>5</v>
      </c>
      <c r="J308" s="37" t="s">
        <v>1256</v>
      </c>
      <c r="K308" s="37" t="s">
        <v>365</v>
      </c>
      <c r="L308" s="37" t="s">
        <v>366</v>
      </c>
      <c r="M308" s="37" t="s">
        <v>211</v>
      </c>
      <c r="N308" s="37" t="s">
        <v>224</v>
      </c>
      <c r="O308" s="37"/>
      <c r="P308" s="21" t="s">
        <v>1806</v>
      </c>
      <c r="Q308" s="37" t="s">
        <v>472</v>
      </c>
    </row>
    <row r="309" spans="1:17" ht="25">
      <c r="A309" s="37" t="s">
        <v>1257</v>
      </c>
      <c r="B309" s="37" t="s">
        <v>317</v>
      </c>
      <c r="C309" s="37" t="s">
        <v>569</v>
      </c>
      <c r="D309" s="37" t="s">
        <v>360</v>
      </c>
      <c r="E309" s="38">
        <v>240</v>
      </c>
      <c r="F309" s="37" t="s">
        <v>451</v>
      </c>
      <c r="G309" s="37" t="s">
        <v>452</v>
      </c>
      <c r="H309" s="37" t="s">
        <v>1258</v>
      </c>
      <c r="I309" s="37">
        <v>5</v>
      </c>
      <c r="J309" s="37" t="s">
        <v>1259</v>
      </c>
      <c r="K309" s="37" t="s">
        <v>365</v>
      </c>
      <c r="L309" s="37" t="s">
        <v>366</v>
      </c>
      <c r="M309" s="37" t="s">
        <v>211</v>
      </c>
      <c r="N309" s="37" t="s">
        <v>224</v>
      </c>
      <c r="O309" s="37"/>
      <c r="P309" s="21" t="s">
        <v>1806</v>
      </c>
      <c r="Q309" s="37" t="s">
        <v>472</v>
      </c>
    </row>
    <row r="310" spans="1:17" ht="25">
      <c r="A310" s="37" t="s">
        <v>1260</v>
      </c>
      <c r="B310" s="37" t="s">
        <v>317</v>
      </c>
      <c r="C310" s="37" t="s">
        <v>762</v>
      </c>
      <c r="D310" s="37" t="s">
        <v>360</v>
      </c>
      <c r="E310" s="38" t="s">
        <v>847</v>
      </c>
      <c r="F310" s="37" t="s">
        <v>362</v>
      </c>
      <c r="G310" s="37"/>
      <c r="H310" s="37" t="s">
        <v>1261</v>
      </c>
      <c r="I310" s="37">
        <v>8</v>
      </c>
      <c r="J310" s="37" t="s">
        <v>1262</v>
      </c>
      <c r="K310" s="37" t="s">
        <v>365</v>
      </c>
      <c r="L310" s="37" t="s">
        <v>366</v>
      </c>
      <c r="M310" s="37" t="s">
        <v>212</v>
      </c>
      <c r="N310" s="37" t="s">
        <v>224</v>
      </c>
      <c r="O310" s="37"/>
      <c r="P310" s="21" t="s">
        <v>1806</v>
      </c>
      <c r="Q310" s="37" t="s">
        <v>472</v>
      </c>
    </row>
    <row r="311" spans="1:17" ht="25">
      <c r="A311" s="37" t="s">
        <v>1263</v>
      </c>
      <c r="B311" s="37" t="s">
        <v>317</v>
      </c>
      <c r="C311" s="37" t="s">
        <v>767</v>
      </c>
      <c r="D311" s="37" t="s">
        <v>360</v>
      </c>
      <c r="E311" s="38">
        <v>16</v>
      </c>
      <c r="F311" s="37" t="s">
        <v>370</v>
      </c>
      <c r="G311" s="37"/>
      <c r="H311" s="37" t="s">
        <v>1264</v>
      </c>
      <c r="I311" s="37">
        <v>8</v>
      </c>
      <c r="J311" s="37" t="s">
        <v>1265</v>
      </c>
      <c r="K311" s="37" t="s">
        <v>365</v>
      </c>
      <c r="L311" s="37" t="s">
        <v>366</v>
      </c>
      <c r="M311" s="37" t="s">
        <v>212</v>
      </c>
      <c r="N311" s="37" t="s">
        <v>224</v>
      </c>
      <c r="O311" s="37"/>
      <c r="P311" s="21" t="s">
        <v>1806</v>
      </c>
      <c r="Q311" s="37" t="s">
        <v>472</v>
      </c>
    </row>
    <row r="312" spans="1:17" ht="25">
      <c r="A312" s="37" t="s">
        <v>1266</v>
      </c>
      <c r="B312" s="37" t="s">
        <v>317</v>
      </c>
      <c r="C312" s="37" t="s">
        <v>769</v>
      </c>
      <c r="D312" s="37" t="s">
        <v>480</v>
      </c>
      <c r="E312" s="38"/>
      <c r="F312" s="37" t="s">
        <v>362</v>
      </c>
      <c r="G312" s="37"/>
      <c r="H312" s="37"/>
      <c r="I312" s="37">
        <v>5</v>
      </c>
      <c r="J312" s="37" t="s">
        <v>1267</v>
      </c>
      <c r="K312" s="37" t="s">
        <v>365</v>
      </c>
      <c r="L312" s="37" t="s">
        <v>366</v>
      </c>
      <c r="M312" s="37" t="s">
        <v>212</v>
      </c>
      <c r="N312" s="37" t="s">
        <v>224</v>
      </c>
      <c r="O312" s="37"/>
      <c r="P312" s="21" t="s">
        <v>1806</v>
      </c>
      <c r="Q312" s="37" t="s">
        <v>472</v>
      </c>
    </row>
    <row r="313" spans="1:17" ht="25">
      <c r="A313" s="37" t="s">
        <v>1268</v>
      </c>
      <c r="B313" s="37" t="s">
        <v>317</v>
      </c>
      <c r="C313" s="37" t="s">
        <v>772</v>
      </c>
      <c r="D313" s="37" t="s">
        <v>480</v>
      </c>
      <c r="E313" s="38"/>
      <c r="F313" s="37" t="s">
        <v>362</v>
      </c>
      <c r="G313" s="37"/>
      <c r="H313" s="37"/>
      <c r="I313" s="37"/>
      <c r="J313" s="37"/>
      <c r="K313" s="37" t="s">
        <v>365</v>
      </c>
      <c r="L313" s="37"/>
      <c r="M313" s="37" t="s">
        <v>212</v>
      </c>
      <c r="N313" s="37" t="s">
        <v>224</v>
      </c>
      <c r="O313" s="37"/>
      <c r="P313" s="21" t="s">
        <v>1806</v>
      </c>
      <c r="Q313" s="37" t="s">
        <v>482</v>
      </c>
    </row>
    <row r="314" spans="1:17" ht="25">
      <c r="A314" s="37" t="s">
        <v>1269</v>
      </c>
      <c r="B314" s="37" t="s">
        <v>317</v>
      </c>
      <c r="C314" s="37" t="s">
        <v>777</v>
      </c>
      <c r="D314" s="37" t="s">
        <v>480</v>
      </c>
      <c r="E314" s="38"/>
      <c r="F314" s="37" t="s">
        <v>362</v>
      </c>
      <c r="G314" s="37"/>
      <c r="H314" s="37"/>
      <c r="I314" s="37">
        <v>10</v>
      </c>
      <c r="J314" s="37" t="s">
        <v>1270</v>
      </c>
      <c r="K314" s="37" t="s">
        <v>365</v>
      </c>
      <c r="L314" s="37" t="s">
        <v>366</v>
      </c>
      <c r="M314" s="37" t="s">
        <v>212</v>
      </c>
      <c r="N314" s="37" t="s">
        <v>224</v>
      </c>
      <c r="O314" s="37"/>
      <c r="P314" s="21" t="s">
        <v>1806</v>
      </c>
      <c r="Q314" s="37" t="s">
        <v>472</v>
      </c>
    </row>
    <row r="315" spans="1:17" ht="25">
      <c r="A315" s="37" t="s">
        <v>1271</v>
      </c>
      <c r="B315" s="37" t="s">
        <v>317</v>
      </c>
      <c r="C315" s="37" t="s">
        <v>779</v>
      </c>
      <c r="D315" s="37" t="s">
        <v>360</v>
      </c>
      <c r="E315" s="38" t="s">
        <v>1272</v>
      </c>
      <c r="F315" s="37" t="s">
        <v>362</v>
      </c>
      <c r="G315" s="37"/>
      <c r="H315" s="37" t="s">
        <v>1273</v>
      </c>
      <c r="I315" s="37">
        <v>10</v>
      </c>
      <c r="J315" s="37" t="s">
        <v>1274</v>
      </c>
      <c r="K315" s="37" t="s">
        <v>365</v>
      </c>
      <c r="L315" s="37" t="s">
        <v>366</v>
      </c>
      <c r="M315" s="37" t="s">
        <v>212</v>
      </c>
      <c r="N315" s="37" t="s">
        <v>224</v>
      </c>
      <c r="O315" s="37"/>
      <c r="P315" s="21" t="s">
        <v>1806</v>
      </c>
      <c r="Q315" s="37" t="s">
        <v>472</v>
      </c>
    </row>
    <row r="316" spans="1:17" ht="25">
      <c r="A316" s="37" t="s">
        <v>1275</v>
      </c>
      <c r="B316" s="37" t="s">
        <v>317</v>
      </c>
      <c r="C316" s="37" t="s">
        <v>583</v>
      </c>
      <c r="D316" s="37" t="s">
        <v>480</v>
      </c>
      <c r="E316" s="38"/>
      <c r="F316" s="37" t="s">
        <v>441</v>
      </c>
      <c r="G316" s="37"/>
      <c r="H316" s="37"/>
      <c r="I316" s="37"/>
      <c r="J316" s="37"/>
      <c r="K316" s="37" t="s">
        <v>365</v>
      </c>
      <c r="L316" s="37"/>
      <c r="M316" s="37" t="s">
        <v>212</v>
      </c>
      <c r="N316" s="37" t="s">
        <v>224</v>
      </c>
      <c r="O316" s="37"/>
      <c r="P316" s="21" t="s">
        <v>1806</v>
      </c>
      <c r="Q316" s="37" t="s">
        <v>482</v>
      </c>
    </row>
    <row r="317" spans="1:17" ht="25">
      <c r="A317" s="37" t="s">
        <v>1276</v>
      </c>
      <c r="B317" s="37" t="s">
        <v>317</v>
      </c>
      <c r="C317" s="37" t="s">
        <v>450</v>
      </c>
      <c r="D317" s="37" t="s">
        <v>360</v>
      </c>
      <c r="E317" s="38">
        <v>255</v>
      </c>
      <c r="F317" s="37" t="s">
        <v>451</v>
      </c>
      <c r="G317" s="37" t="s">
        <v>452</v>
      </c>
      <c r="H317" s="37" t="s">
        <v>1277</v>
      </c>
      <c r="I317" s="37">
        <v>6</v>
      </c>
      <c r="J317" s="37" t="s">
        <v>1278</v>
      </c>
      <c r="K317" s="37" t="s">
        <v>365</v>
      </c>
      <c r="L317" s="37" t="s">
        <v>366</v>
      </c>
      <c r="M317" s="37" t="s">
        <v>212</v>
      </c>
      <c r="N317" s="37" t="s">
        <v>224</v>
      </c>
      <c r="O317" s="37"/>
      <c r="P317" s="21" t="s">
        <v>1806</v>
      </c>
      <c r="Q317" s="37" t="s">
        <v>472</v>
      </c>
    </row>
    <row r="318" spans="1:17" ht="25">
      <c r="A318" s="37" t="s">
        <v>1279</v>
      </c>
      <c r="B318" s="37" t="s">
        <v>317</v>
      </c>
      <c r="C318" s="37" t="s">
        <v>456</v>
      </c>
      <c r="D318" s="37" t="s">
        <v>360</v>
      </c>
      <c r="E318" s="38" t="s">
        <v>1280</v>
      </c>
      <c r="F318" s="37" t="s">
        <v>362</v>
      </c>
      <c r="G318" s="37" t="s">
        <v>458</v>
      </c>
      <c r="H318" s="37" t="s">
        <v>1280</v>
      </c>
      <c r="I318" s="37">
        <v>6</v>
      </c>
      <c r="J318" s="37" t="s">
        <v>1281</v>
      </c>
      <c r="K318" s="37" t="s">
        <v>365</v>
      </c>
      <c r="L318" s="37" t="s">
        <v>366</v>
      </c>
      <c r="M318" s="37" t="s">
        <v>212</v>
      </c>
      <c r="N318" s="37" t="s">
        <v>224</v>
      </c>
      <c r="O318" s="37"/>
      <c r="P318" s="21" t="s">
        <v>1806</v>
      </c>
      <c r="Q318" s="37" t="s">
        <v>472</v>
      </c>
    </row>
    <row r="319" spans="1:17" ht="25">
      <c r="A319" s="37" t="s">
        <v>1282</v>
      </c>
      <c r="B319" s="37" t="s">
        <v>317</v>
      </c>
      <c r="C319" s="37" t="s">
        <v>462</v>
      </c>
      <c r="D319" s="37" t="s">
        <v>360</v>
      </c>
      <c r="E319" s="38" t="s">
        <v>463</v>
      </c>
      <c r="F319" s="37" t="s">
        <v>362</v>
      </c>
      <c r="G319" s="37" t="s">
        <v>464</v>
      </c>
      <c r="H319" s="37" t="s">
        <v>463</v>
      </c>
      <c r="I319" s="37">
        <v>6</v>
      </c>
      <c r="J319" s="37" t="s">
        <v>598</v>
      </c>
      <c r="K319" s="37" t="s">
        <v>365</v>
      </c>
      <c r="L319" s="37" t="s">
        <v>366</v>
      </c>
      <c r="M319" s="37" t="s">
        <v>212</v>
      </c>
      <c r="N319" s="37" t="s">
        <v>224</v>
      </c>
      <c r="O319" s="37"/>
      <c r="P319" s="21" t="s">
        <v>1806</v>
      </c>
      <c r="Q319" s="37" t="s">
        <v>472</v>
      </c>
    </row>
    <row r="320" spans="1:17" ht="25">
      <c r="A320" s="37" t="s">
        <v>1283</v>
      </c>
      <c r="B320" s="37" t="s">
        <v>321</v>
      </c>
      <c r="C320" s="37" t="s">
        <v>359</v>
      </c>
      <c r="D320" s="37" t="s">
        <v>360</v>
      </c>
      <c r="E320" s="38" t="s">
        <v>1284</v>
      </c>
      <c r="F320" s="37" t="s">
        <v>362</v>
      </c>
      <c r="G320" s="37"/>
      <c r="H320" s="37" t="s">
        <v>1285</v>
      </c>
      <c r="I320" s="37">
        <v>4</v>
      </c>
      <c r="J320" s="37" t="s">
        <v>1286</v>
      </c>
      <c r="K320" s="37" t="s">
        <v>365</v>
      </c>
      <c r="L320" s="37" t="s">
        <v>366</v>
      </c>
      <c r="M320" s="37" t="s">
        <v>211</v>
      </c>
      <c r="N320" s="37" t="s">
        <v>224</v>
      </c>
      <c r="O320" s="37"/>
      <c r="P320" s="21" t="s">
        <v>1806</v>
      </c>
      <c r="Q320" s="37" t="s">
        <v>472</v>
      </c>
    </row>
    <row r="321" spans="1:17" ht="25">
      <c r="A321" s="37" t="s">
        <v>1287</v>
      </c>
      <c r="B321" s="37" t="s">
        <v>321</v>
      </c>
      <c r="C321" s="37" t="s">
        <v>369</v>
      </c>
      <c r="D321" s="37" t="s">
        <v>360</v>
      </c>
      <c r="E321" s="38">
        <v>6</v>
      </c>
      <c r="F321" s="37" t="s">
        <v>370</v>
      </c>
      <c r="G321" s="37"/>
      <c r="H321" s="37" t="s">
        <v>1288</v>
      </c>
      <c r="I321" s="37">
        <v>1</v>
      </c>
      <c r="J321" s="37" t="s">
        <v>1289</v>
      </c>
      <c r="K321" s="37" t="s">
        <v>365</v>
      </c>
      <c r="L321" s="37" t="s">
        <v>366</v>
      </c>
      <c r="M321" s="37" t="s">
        <v>211</v>
      </c>
      <c r="N321" s="37" t="s">
        <v>224</v>
      </c>
      <c r="O321" s="37"/>
      <c r="P321" s="21" t="s">
        <v>1806</v>
      </c>
      <c r="Q321" s="37" t="s">
        <v>472</v>
      </c>
    </row>
    <row r="322" spans="1:17" ht="25">
      <c r="A322" s="37" t="s">
        <v>1290</v>
      </c>
      <c r="B322" s="37" t="s">
        <v>321</v>
      </c>
      <c r="C322" s="37" t="s">
        <v>374</v>
      </c>
      <c r="D322" s="37" t="s">
        <v>360</v>
      </c>
      <c r="E322" s="38">
        <v>689</v>
      </c>
      <c r="F322" s="37" t="s">
        <v>370</v>
      </c>
      <c r="G322" s="37" t="s">
        <v>375</v>
      </c>
      <c r="H322" s="37" t="s">
        <v>1291</v>
      </c>
      <c r="I322" s="37">
        <v>5</v>
      </c>
      <c r="J322" s="37" t="s">
        <v>1292</v>
      </c>
      <c r="K322" s="37" t="s">
        <v>378</v>
      </c>
      <c r="L322" s="37" t="s">
        <v>366</v>
      </c>
      <c r="M322" s="37" t="s">
        <v>211</v>
      </c>
      <c r="N322" s="37" t="s">
        <v>224</v>
      </c>
      <c r="O322" s="37"/>
      <c r="P322" s="21" t="s">
        <v>1806</v>
      </c>
      <c r="Q322" s="37" t="s">
        <v>472</v>
      </c>
    </row>
    <row r="323" spans="1:17" ht="25">
      <c r="A323" s="37" t="s">
        <v>1293</v>
      </c>
      <c r="B323" s="37" t="s">
        <v>321</v>
      </c>
      <c r="C323" s="37" t="s">
        <v>380</v>
      </c>
      <c r="D323" s="37" t="s">
        <v>360</v>
      </c>
      <c r="E323" s="38">
        <v>5765</v>
      </c>
      <c r="F323" s="37" t="s">
        <v>370</v>
      </c>
      <c r="G323" s="37" t="s">
        <v>375</v>
      </c>
      <c r="H323" s="37" t="s">
        <v>1294</v>
      </c>
      <c r="I323" s="37">
        <v>5</v>
      </c>
      <c r="J323" s="37" t="s">
        <v>1295</v>
      </c>
      <c r="K323" s="37" t="s">
        <v>1296</v>
      </c>
      <c r="L323" s="37" t="s">
        <v>366</v>
      </c>
      <c r="M323" s="37" t="s">
        <v>211</v>
      </c>
      <c r="N323" s="37" t="s">
        <v>224</v>
      </c>
      <c r="O323" s="37"/>
      <c r="P323" s="21" t="s">
        <v>1806</v>
      </c>
      <c r="Q323" s="37" t="s">
        <v>472</v>
      </c>
    </row>
    <row r="324" spans="1:17" ht="25">
      <c r="A324" s="37" t="s">
        <v>1297</v>
      </c>
      <c r="B324" s="37" t="s">
        <v>321</v>
      </c>
      <c r="C324" s="37" t="s">
        <v>385</v>
      </c>
      <c r="D324" s="37" t="s">
        <v>360</v>
      </c>
      <c r="E324" s="38">
        <v>5765</v>
      </c>
      <c r="F324" s="37" t="s">
        <v>370</v>
      </c>
      <c r="G324" s="37" t="s">
        <v>375</v>
      </c>
      <c r="H324" s="37" t="s">
        <v>1298</v>
      </c>
      <c r="I324" s="37">
        <v>5</v>
      </c>
      <c r="J324" s="37" t="s">
        <v>1299</v>
      </c>
      <c r="K324" s="37" t="s">
        <v>388</v>
      </c>
      <c r="L324" s="37" t="s">
        <v>366</v>
      </c>
      <c r="M324" s="37" t="s">
        <v>211</v>
      </c>
      <c r="N324" s="37" t="s">
        <v>224</v>
      </c>
      <c r="O324" s="37"/>
      <c r="P324" s="21" t="s">
        <v>1806</v>
      </c>
      <c r="Q324" s="37" t="s">
        <v>472</v>
      </c>
    </row>
    <row r="325" spans="1:17" ht="25">
      <c r="A325" s="37" t="s">
        <v>1300</v>
      </c>
      <c r="B325" s="37" t="s">
        <v>321</v>
      </c>
      <c r="C325" s="37" t="s">
        <v>390</v>
      </c>
      <c r="D325" s="37" t="s">
        <v>360</v>
      </c>
      <c r="E325" s="38">
        <v>320</v>
      </c>
      <c r="F325" s="37" t="s">
        <v>370</v>
      </c>
      <c r="G325" s="37" t="s">
        <v>391</v>
      </c>
      <c r="H325" s="37" t="s">
        <v>1301</v>
      </c>
      <c r="I325" s="37">
        <v>4</v>
      </c>
      <c r="J325" s="37" t="s">
        <v>1302</v>
      </c>
      <c r="K325" s="37" t="s">
        <v>365</v>
      </c>
      <c r="L325" s="37" t="s">
        <v>366</v>
      </c>
      <c r="M325" s="37" t="s">
        <v>211</v>
      </c>
      <c r="N325" s="37" t="s">
        <v>224</v>
      </c>
      <c r="O325" s="37"/>
      <c r="P325" s="21" t="s">
        <v>1806</v>
      </c>
      <c r="Q325" s="37" t="s">
        <v>472</v>
      </c>
    </row>
    <row r="326" spans="1:17" ht="25">
      <c r="A326" s="37" t="s">
        <v>1303</v>
      </c>
      <c r="B326" s="37" t="s">
        <v>321</v>
      </c>
      <c r="C326" s="37" t="s">
        <v>396</v>
      </c>
      <c r="D326" s="37" t="s">
        <v>360</v>
      </c>
      <c r="E326" s="38" t="s">
        <v>1304</v>
      </c>
      <c r="F326" s="37" t="s">
        <v>362</v>
      </c>
      <c r="G326" s="37"/>
      <c r="H326" s="37" t="s">
        <v>1305</v>
      </c>
      <c r="I326" s="37">
        <v>5</v>
      </c>
      <c r="J326" s="37" t="s">
        <v>1306</v>
      </c>
      <c r="K326" s="37" t="s">
        <v>365</v>
      </c>
      <c r="L326" s="37" t="s">
        <v>366</v>
      </c>
      <c r="M326" s="37" t="s">
        <v>211</v>
      </c>
      <c r="N326" s="37" t="s">
        <v>224</v>
      </c>
      <c r="O326" s="37"/>
      <c r="P326" s="21" t="s">
        <v>1806</v>
      </c>
      <c r="Q326" s="37" t="s">
        <v>472</v>
      </c>
    </row>
    <row r="327" spans="1:17" ht="25">
      <c r="A327" s="37" t="s">
        <v>1307</v>
      </c>
      <c r="B327" s="37" t="s">
        <v>321</v>
      </c>
      <c r="C327" s="37" t="s">
        <v>401</v>
      </c>
      <c r="D327" s="37" t="s">
        <v>360</v>
      </c>
      <c r="E327" s="38" t="s">
        <v>1308</v>
      </c>
      <c r="F327" s="37" t="s">
        <v>362</v>
      </c>
      <c r="G327" s="37"/>
      <c r="H327" s="37" t="s">
        <v>1309</v>
      </c>
      <c r="I327" s="37">
        <v>5</v>
      </c>
      <c r="J327" s="37" t="s">
        <v>1310</v>
      </c>
      <c r="K327" s="37" t="s">
        <v>365</v>
      </c>
      <c r="L327" s="37" t="s">
        <v>366</v>
      </c>
      <c r="M327" s="37" t="s">
        <v>211</v>
      </c>
      <c r="N327" s="37" t="s">
        <v>224</v>
      </c>
      <c r="O327" s="37"/>
      <c r="P327" s="21" t="s">
        <v>1806</v>
      </c>
      <c r="Q327" s="37" t="s">
        <v>472</v>
      </c>
    </row>
    <row r="328" spans="1:17" ht="25">
      <c r="A328" s="37" t="s">
        <v>1311</v>
      </c>
      <c r="B328" s="37" t="s">
        <v>321</v>
      </c>
      <c r="C328" s="37" t="s">
        <v>405</v>
      </c>
      <c r="D328" s="37" t="s">
        <v>360</v>
      </c>
      <c r="E328" s="38">
        <v>768</v>
      </c>
      <c r="F328" s="37" t="s">
        <v>370</v>
      </c>
      <c r="G328" s="37"/>
      <c r="H328" s="37" t="s">
        <v>1312</v>
      </c>
      <c r="I328" s="37">
        <v>5</v>
      </c>
      <c r="J328" s="37" t="s">
        <v>1313</v>
      </c>
      <c r="K328" s="37" t="s">
        <v>365</v>
      </c>
      <c r="L328" s="37" t="s">
        <v>366</v>
      </c>
      <c r="M328" s="37" t="s">
        <v>211</v>
      </c>
      <c r="N328" s="37" t="s">
        <v>224</v>
      </c>
      <c r="O328" s="37"/>
      <c r="P328" s="21" t="s">
        <v>1806</v>
      </c>
      <c r="Q328" s="37" t="s">
        <v>472</v>
      </c>
    </row>
    <row r="329" spans="1:17" ht="25">
      <c r="A329" s="37" t="s">
        <v>1314</v>
      </c>
      <c r="B329" s="37" t="s">
        <v>321</v>
      </c>
      <c r="C329" s="37" t="s">
        <v>815</v>
      </c>
      <c r="D329" s="37" t="s">
        <v>360</v>
      </c>
      <c r="E329" s="38" t="s">
        <v>1315</v>
      </c>
      <c r="F329" s="37" t="s">
        <v>362</v>
      </c>
      <c r="G329" s="37"/>
      <c r="H329" s="37" t="s">
        <v>1316</v>
      </c>
      <c r="I329" s="37">
        <v>1</v>
      </c>
      <c r="J329" s="37" t="s">
        <v>1317</v>
      </c>
      <c r="K329" s="37" t="s">
        <v>365</v>
      </c>
      <c r="L329" s="37" t="s">
        <v>366</v>
      </c>
      <c r="M329" s="37" t="s">
        <v>211</v>
      </c>
      <c r="N329" s="37" t="s">
        <v>224</v>
      </c>
      <c r="O329" s="37"/>
      <c r="P329" s="21" t="s">
        <v>1806</v>
      </c>
      <c r="Q329" s="37" t="s">
        <v>472</v>
      </c>
    </row>
    <row r="330" spans="1:17" ht="25">
      <c r="A330" s="37" t="s">
        <v>1318</v>
      </c>
      <c r="B330" s="37" t="s">
        <v>321</v>
      </c>
      <c r="C330" s="37" t="s">
        <v>423</v>
      </c>
      <c r="D330" s="37" t="s">
        <v>360</v>
      </c>
      <c r="E330" s="38" t="s">
        <v>1319</v>
      </c>
      <c r="F330" s="37" t="s">
        <v>362</v>
      </c>
      <c r="G330" s="37"/>
      <c r="H330" s="37" t="s">
        <v>1320</v>
      </c>
      <c r="I330" s="37">
        <v>4</v>
      </c>
      <c r="J330" s="37" t="s">
        <v>1321</v>
      </c>
      <c r="K330" s="37" t="s">
        <v>365</v>
      </c>
      <c r="L330" s="37" t="s">
        <v>366</v>
      </c>
      <c r="M330" s="37" t="s">
        <v>211</v>
      </c>
      <c r="N330" s="37" t="s">
        <v>224</v>
      </c>
      <c r="O330" s="37"/>
      <c r="P330" s="21" t="s">
        <v>1806</v>
      </c>
      <c r="Q330" s="37" t="s">
        <v>472</v>
      </c>
    </row>
    <row r="331" spans="1:17" ht="25">
      <c r="A331" s="37" t="s">
        <v>1322</v>
      </c>
      <c r="B331" s="37" t="s">
        <v>321</v>
      </c>
      <c r="C331" s="37" t="s">
        <v>428</v>
      </c>
      <c r="D331" s="37" t="s">
        <v>360</v>
      </c>
      <c r="E331" s="38" t="s">
        <v>1323</v>
      </c>
      <c r="F331" s="37" t="s">
        <v>362</v>
      </c>
      <c r="G331" s="37" t="s">
        <v>430</v>
      </c>
      <c r="H331" s="37" t="s">
        <v>1323</v>
      </c>
      <c r="I331" s="37">
        <v>4</v>
      </c>
      <c r="J331" s="37" t="s">
        <v>1324</v>
      </c>
      <c r="K331" s="37" t="s">
        <v>365</v>
      </c>
      <c r="L331" s="37" t="s">
        <v>366</v>
      </c>
      <c r="M331" s="37" t="s">
        <v>211</v>
      </c>
      <c r="N331" s="37" t="s">
        <v>224</v>
      </c>
      <c r="O331" s="37"/>
      <c r="P331" s="21" t="s">
        <v>1806</v>
      </c>
      <c r="Q331" s="37" t="s">
        <v>472</v>
      </c>
    </row>
    <row r="332" spans="1:17" ht="25">
      <c r="A332" s="37" t="s">
        <v>1325</v>
      </c>
      <c r="B332" s="37" t="s">
        <v>321</v>
      </c>
      <c r="C332" s="37" t="s">
        <v>807</v>
      </c>
      <c r="D332" s="37" t="s">
        <v>1326</v>
      </c>
      <c r="E332" s="38"/>
      <c r="F332" s="37" t="s">
        <v>362</v>
      </c>
      <c r="G332" s="37"/>
      <c r="H332" s="37" t="s">
        <v>1327</v>
      </c>
      <c r="I332" s="37"/>
      <c r="J332" s="37"/>
      <c r="K332" s="37" t="s">
        <v>365</v>
      </c>
      <c r="L332" s="37"/>
      <c r="M332" s="37" t="s">
        <v>211</v>
      </c>
      <c r="N332" s="37" t="s">
        <v>224</v>
      </c>
      <c r="O332" s="37"/>
      <c r="P332" s="21" t="s">
        <v>1806</v>
      </c>
      <c r="Q332" s="37" t="s">
        <v>482</v>
      </c>
    </row>
    <row r="333" spans="1:17" ht="25">
      <c r="A333" s="37" t="s">
        <v>1328</v>
      </c>
      <c r="B333" s="37" t="s">
        <v>321</v>
      </c>
      <c r="C333" s="37" t="s">
        <v>1329</v>
      </c>
      <c r="D333" s="37" t="s">
        <v>1326</v>
      </c>
      <c r="E333" s="38"/>
      <c r="F333" s="37" t="s">
        <v>362</v>
      </c>
      <c r="G333" s="37" t="s">
        <v>1330</v>
      </c>
      <c r="H333" s="37" t="s">
        <v>1331</v>
      </c>
      <c r="I333" s="37"/>
      <c r="J333" s="37"/>
      <c r="K333" s="37" t="s">
        <v>365</v>
      </c>
      <c r="L333" s="37"/>
      <c r="M333" s="37" t="s">
        <v>211</v>
      </c>
      <c r="N333" s="37" t="s">
        <v>224</v>
      </c>
      <c r="O333" s="37"/>
      <c r="P333" s="21" t="s">
        <v>1806</v>
      </c>
      <c r="Q333" s="37" t="s">
        <v>482</v>
      </c>
    </row>
    <row r="334" spans="1:17" ht="25">
      <c r="A334" s="37" t="s">
        <v>1332</v>
      </c>
      <c r="B334" s="37" t="s">
        <v>321</v>
      </c>
      <c r="C334" s="37" t="s">
        <v>434</v>
      </c>
      <c r="D334" s="37" t="s">
        <v>360</v>
      </c>
      <c r="E334" s="38" t="s">
        <v>1333</v>
      </c>
      <c r="F334" s="37" t="s">
        <v>362</v>
      </c>
      <c r="G334" s="37"/>
      <c r="H334" s="37" t="s">
        <v>1334</v>
      </c>
      <c r="I334" s="37">
        <v>5</v>
      </c>
      <c r="J334" s="37" t="s">
        <v>1335</v>
      </c>
      <c r="K334" s="37" t="s">
        <v>365</v>
      </c>
      <c r="L334" s="37" t="s">
        <v>366</v>
      </c>
      <c r="M334" s="37" t="s">
        <v>212</v>
      </c>
      <c r="N334" s="37" t="s">
        <v>224</v>
      </c>
      <c r="O334" s="37"/>
      <c r="P334" s="21" t="s">
        <v>1806</v>
      </c>
      <c r="Q334" s="37" t="s">
        <v>472</v>
      </c>
    </row>
    <row r="335" spans="1:17" ht="25">
      <c r="A335" s="37" t="s">
        <v>1336</v>
      </c>
      <c r="B335" s="37" t="s">
        <v>321</v>
      </c>
      <c r="C335" s="37" t="s">
        <v>439</v>
      </c>
      <c r="D335" s="37" t="s">
        <v>360</v>
      </c>
      <c r="E335" s="38" t="s">
        <v>440</v>
      </c>
      <c r="F335" s="37" t="s">
        <v>441</v>
      </c>
      <c r="G335" s="37"/>
      <c r="H335" s="37" t="s">
        <v>1337</v>
      </c>
      <c r="I335" s="37">
        <v>5</v>
      </c>
      <c r="J335" s="37" t="s">
        <v>1338</v>
      </c>
      <c r="K335" s="37" t="s">
        <v>365</v>
      </c>
      <c r="L335" s="37" t="s">
        <v>366</v>
      </c>
      <c r="M335" s="37" t="s">
        <v>212</v>
      </c>
      <c r="N335" s="37" t="s">
        <v>224</v>
      </c>
      <c r="O335" s="37"/>
      <c r="P335" s="21" t="s">
        <v>1806</v>
      </c>
      <c r="Q335" s="37" t="s">
        <v>472</v>
      </c>
    </row>
    <row r="336" spans="1:17" ht="25">
      <c r="A336" s="37" t="s">
        <v>1339</v>
      </c>
      <c r="B336" s="37" t="s">
        <v>321</v>
      </c>
      <c r="C336" s="37" t="s">
        <v>445</v>
      </c>
      <c r="D336" s="37" t="s">
        <v>360</v>
      </c>
      <c r="E336" s="38" t="s">
        <v>1340</v>
      </c>
      <c r="F336" s="37" t="s">
        <v>362</v>
      </c>
      <c r="G336" s="37"/>
      <c r="H336" s="37" t="s">
        <v>1340</v>
      </c>
      <c r="I336" s="37">
        <v>4</v>
      </c>
      <c r="J336" s="37" t="s">
        <v>1341</v>
      </c>
      <c r="K336" s="37" t="s">
        <v>365</v>
      </c>
      <c r="L336" s="37" t="s">
        <v>366</v>
      </c>
      <c r="M336" s="37" t="s">
        <v>212</v>
      </c>
      <c r="N336" s="37" t="s">
        <v>224</v>
      </c>
      <c r="O336" s="37"/>
      <c r="P336" s="21" t="s">
        <v>1806</v>
      </c>
      <c r="Q336" s="37" t="s">
        <v>472</v>
      </c>
    </row>
    <row r="337" spans="1:17" ht="25">
      <c r="A337" s="37" t="s">
        <v>1342</v>
      </c>
      <c r="B337" s="37" t="s">
        <v>321</v>
      </c>
      <c r="C337" s="37" t="s">
        <v>1343</v>
      </c>
      <c r="D337" s="37" t="s">
        <v>360</v>
      </c>
      <c r="E337" s="38" t="s">
        <v>1344</v>
      </c>
      <c r="F337" s="37" t="s">
        <v>362</v>
      </c>
      <c r="G337" s="37"/>
      <c r="H337" s="37" t="s">
        <v>1345</v>
      </c>
      <c r="I337" s="37">
        <v>4</v>
      </c>
      <c r="J337" s="37" t="s">
        <v>1346</v>
      </c>
      <c r="K337" s="37" t="s">
        <v>365</v>
      </c>
      <c r="L337" s="37" t="s">
        <v>366</v>
      </c>
      <c r="M337" s="37" t="s">
        <v>212</v>
      </c>
      <c r="N337" s="37" t="s">
        <v>224</v>
      </c>
      <c r="O337" s="37"/>
      <c r="P337" s="21" t="s">
        <v>1806</v>
      </c>
      <c r="Q337" s="37" t="s">
        <v>472</v>
      </c>
    </row>
    <row r="338" spans="1:17" ht="25">
      <c r="A338" s="37" t="s">
        <v>1347</v>
      </c>
      <c r="B338" s="37" t="s">
        <v>321</v>
      </c>
      <c r="C338" s="37" t="s">
        <v>450</v>
      </c>
      <c r="D338" s="37" t="s">
        <v>480</v>
      </c>
      <c r="E338" s="38"/>
      <c r="F338" s="37" t="s">
        <v>451</v>
      </c>
      <c r="G338" s="37" t="s">
        <v>452</v>
      </c>
      <c r="H338" s="37"/>
      <c r="I338" s="37">
        <v>5</v>
      </c>
      <c r="J338" s="37" t="s">
        <v>1348</v>
      </c>
      <c r="K338" s="37" t="s">
        <v>365</v>
      </c>
      <c r="L338" s="37" t="s">
        <v>366</v>
      </c>
      <c r="M338" s="37" t="s">
        <v>212</v>
      </c>
      <c r="N338" s="37" t="s">
        <v>224</v>
      </c>
      <c r="O338" s="37"/>
      <c r="P338" s="21" t="s">
        <v>1806</v>
      </c>
      <c r="Q338" s="37" t="s">
        <v>472</v>
      </c>
    </row>
    <row r="339" spans="1:17" ht="25">
      <c r="A339" s="37" t="s">
        <v>1349</v>
      </c>
      <c r="B339" s="37" t="s">
        <v>321</v>
      </c>
      <c r="C339" s="37" t="s">
        <v>456</v>
      </c>
      <c r="D339" s="37" t="s">
        <v>360</v>
      </c>
      <c r="E339" s="38" t="s">
        <v>1350</v>
      </c>
      <c r="F339" s="37" t="s">
        <v>362</v>
      </c>
      <c r="G339" s="37" t="s">
        <v>458</v>
      </c>
      <c r="H339" s="37" t="s">
        <v>1351</v>
      </c>
      <c r="I339" s="37">
        <v>5</v>
      </c>
      <c r="J339" s="37" t="s">
        <v>1352</v>
      </c>
      <c r="K339" s="37" t="s">
        <v>365</v>
      </c>
      <c r="L339" s="37" t="s">
        <v>366</v>
      </c>
      <c r="M339" s="37" t="s">
        <v>212</v>
      </c>
      <c r="N339" s="37" t="s">
        <v>224</v>
      </c>
      <c r="O339" s="37"/>
      <c r="P339" s="21" t="s">
        <v>1806</v>
      </c>
      <c r="Q339" s="37" t="s">
        <v>472</v>
      </c>
    </row>
    <row r="340" spans="1:17" ht="25">
      <c r="A340" s="37" t="s">
        <v>1353</v>
      </c>
      <c r="B340" s="37" t="s">
        <v>321</v>
      </c>
      <c r="C340" s="37" t="s">
        <v>462</v>
      </c>
      <c r="D340" s="37" t="s">
        <v>360</v>
      </c>
      <c r="E340" s="38" t="s">
        <v>1354</v>
      </c>
      <c r="F340" s="37" t="s">
        <v>362</v>
      </c>
      <c r="G340" s="37" t="s">
        <v>464</v>
      </c>
      <c r="H340" s="37" t="s">
        <v>1354</v>
      </c>
      <c r="I340" s="37">
        <v>5</v>
      </c>
      <c r="J340" s="37" t="s">
        <v>1355</v>
      </c>
      <c r="K340" s="37" t="s">
        <v>365</v>
      </c>
      <c r="L340" s="37" t="s">
        <v>366</v>
      </c>
      <c r="M340" s="37" t="s">
        <v>212</v>
      </c>
      <c r="N340" s="37" t="s">
        <v>224</v>
      </c>
      <c r="O340" s="37"/>
      <c r="P340" s="21" t="s">
        <v>1806</v>
      </c>
      <c r="Q340" s="37" t="s">
        <v>472</v>
      </c>
    </row>
    <row r="341" spans="1:17" ht="25">
      <c r="A341" s="37" t="s">
        <v>1356</v>
      </c>
      <c r="B341" s="37" t="s">
        <v>326</v>
      </c>
      <c r="C341" s="37" t="s">
        <v>396</v>
      </c>
      <c r="D341" s="37" t="s">
        <v>360</v>
      </c>
      <c r="E341" s="38" t="s">
        <v>1357</v>
      </c>
      <c r="F341" s="37" t="s">
        <v>362</v>
      </c>
      <c r="G341" s="37"/>
      <c r="H341" s="37" t="s">
        <v>1358</v>
      </c>
      <c r="I341" s="37">
        <v>2</v>
      </c>
      <c r="J341" s="37" t="s">
        <v>1359</v>
      </c>
      <c r="K341" s="37" t="s">
        <v>365</v>
      </c>
      <c r="L341" s="37" t="s">
        <v>366</v>
      </c>
      <c r="M341" s="37" t="s">
        <v>211</v>
      </c>
      <c r="N341" s="37" t="s">
        <v>224</v>
      </c>
      <c r="O341" s="37"/>
      <c r="P341" s="21" t="s">
        <v>1806</v>
      </c>
      <c r="Q341" s="37" t="s">
        <v>472</v>
      </c>
    </row>
    <row r="342" spans="1:17" ht="25">
      <c r="A342" s="37" t="s">
        <v>1360</v>
      </c>
      <c r="B342" s="37" t="s">
        <v>326</v>
      </c>
      <c r="C342" s="37" t="s">
        <v>550</v>
      </c>
      <c r="D342" s="37" t="s">
        <v>386</v>
      </c>
      <c r="E342" s="38"/>
      <c r="F342" s="37" t="s">
        <v>362</v>
      </c>
      <c r="G342" s="37"/>
      <c r="H342" s="37" t="s">
        <v>551</v>
      </c>
      <c r="I342" s="37"/>
      <c r="J342" s="37"/>
      <c r="K342" s="37" t="s">
        <v>365</v>
      </c>
      <c r="L342" s="37"/>
      <c r="M342" s="37" t="s">
        <v>211</v>
      </c>
      <c r="N342" s="37" t="s">
        <v>224</v>
      </c>
      <c r="O342" s="37"/>
      <c r="P342" s="21" t="s">
        <v>1806</v>
      </c>
      <c r="Q342" s="37" t="s">
        <v>482</v>
      </c>
    </row>
    <row r="343" spans="1:17" ht="25">
      <c r="A343" s="37" t="s">
        <v>1361</v>
      </c>
      <c r="B343" s="37" t="s">
        <v>326</v>
      </c>
      <c r="C343" s="37" t="s">
        <v>553</v>
      </c>
      <c r="D343" s="37" t="s">
        <v>360</v>
      </c>
      <c r="E343" s="38">
        <v>1.6</v>
      </c>
      <c r="F343" s="37" t="s">
        <v>451</v>
      </c>
      <c r="G343" s="37" t="s">
        <v>554</v>
      </c>
      <c r="H343" s="37" t="s">
        <v>1362</v>
      </c>
      <c r="I343" s="37">
        <v>2</v>
      </c>
      <c r="J343" s="37" t="s">
        <v>1363</v>
      </c>
      <c r="K343" s="37" t="s">
        <v>365</v>
      </c>
      <c r="L343" s="37" t="s">
        <v>366</v>
      </c>
      <c r="M343" s="37" t="s">
        <v>211</v>
      </c>
      <c r="N343" s="37" t="s">
        <v>224</v>
      </c>
      <c r="O343" s="37"/>
      <c r="P343" s="21" t="s">
        <v>1806</v>
      </c>
      <c r="Q343" s="37" t="s">
        <v>472</v>
      </c>
    </row>
    <row r="344" spans="1:17" ht="25">
      <c r="A344" s="37" t="s">
        <v>1364</v>
      </c>
      <c r="B344" s="37" t="s">
        <v>326</v>
      </c>
      <c r="C344" s="37" t="s">
        <v>558</v>
      </c>
      <c r="D344" s="37" t="s">
        <v>360</v>
      </c>
      <c r="E344" s="38">
        <v>0.14879999999999999</v>
      </c>
      <c r="F344" s="37" t="s">
        <v>451</v>
      </c>
      <c r="G344" s="37" t="s">
        <v>559</v>
      </c>
      <c r="H344" s="37" t="s">
        <v>1365</v>
      </c>
      <c r="I344" s="37">
        <v>2</v>
      </c>
      <c r="J344" s="37" t="s">
        <v>1366</v>
      </c>
      <c r="K344" s="37" t="s">
        <v>1367</v>
      </c>
      <c r="L344" s="37" t="s">
        <v>366</v>
      </c>
      <c r="M344" s="37" t="s">
        <v>211</v>
      </c>
      <c r="N344" s="37" t="s">
        <v>224</v>
      </c>
      <c r="O344" s="37"/>
      <c r="P344" s="21" t="s">
        <v>1806</v>
      </c>
      <c r="Q344" s="37" t="s">
        <v>472</v>
      </c>
    </row>
    <row r="345" spans="1:17" ht="25">
      <c r="A345" s="37" t="s">
        <v>1368</v>
      </c>
      <c r="B345" s="37" t="s">
        <v>326</v>
      </c>
      <c r="C345" s="37" t="s">
        <v>564</v>
      </c>
      <c r="D345" s="37" t="s">
        <v>386</v>
      </c>
      <c r="E345" s="38"/>
      <c r="F345" s="37" t="s">
        <v>362</v>
      </c>
      <c r="G345" s="37"/>
      <c r="H345" s="37" t="s">
        <v>565</v>
      </c>
      <c r="I345" s="37"/>
      <c r="J345" s="37"/>
      <c r="K345" s="37" t="s">
        <v>365</v>
      </c>
      <c r="L345" s="37"/>
      <c r="M345" s="37" t="s">
        <v>211</v>
      </c>
      <c r="N345" s="37" t="s">
        <v>224</v>
      </c>
      <c r="O345" s="37"/>
      <c r="P345" s="21" t="s">
        <v>1806</v>
      </c>
      <c r="Q345" s="37" t="s">
        <v>482</v>
      </c>
    </row>
    <row r="346" spans="1:17" ht="25">
      <c r="A346" s="37" t="s">
        <v>1369</v>
      </c>
      <c r="B346" s="37" t="s">
        <v>326</v>
      </c>
      <c r="C346" s="37" t="s">
        <v>567</v>
      </c>
      <c r="D346" s="37" t="s">
        <v>386</v>
      </c>
      <c r="E346" s="38"/>
      <c r="F346" s="37" t="s">
        <v>370</v>
      </c>
      <c r="G346" s="37"/>
      <c r="H346" s="37" t="s">
        <v>565</v>
      </c>
      <c r="I346" s="37"/>
      <c r="J346" s="37"/>
      <c r="K346" s="37" t="s">
        <v>365</v>
      </c>
      <c r="L346" s="37"/>
      <c r="M346" s="37" t="s">
        <v>211</v>
      </c>
      <c r="N346" s="37" t="s">
        <v>224</v>
      </c>
      <c r="O346" s="37"/>
      <c r="P346" s="21" t="s">
        <v>1806</v>
      </c>
      <c r="Q346" s="37" t="s">
        <v>482</v>
      </c>
    </row>
    <row r="347" spans="1:17" ht="25">
      <c r="A347" s="37" t="s">
        <v>1370</v>
      </c>
      <c r="B347" s="37" t="s">
        <v>326</v>
      </c>
      <c r="C347" s="37" t="s">
        <v>569</v>
      </c>
      <c r="D347" s="37" t="s">
        <v>386</v>
      </c>
      <c r="E347" s="38"/>
      <c r="F347" s="37" t="s">
        <v>451</v>
      </c>
      <c r="G347" s="37" t="s">
        <v>452</v>
      </c>
      <c r="H347" s="37" t="s">
        <v>565</v>
      </c>
      <c r="I347" s="37"/>
      <c r="J347" s="37"/>
      <c r="K347" s="37" t="s">
        <v>365</v>
      </c>
      <c r="L347" s="37"/>
      <c r="M347" s="37" t="s">
        <v>211</v>
      </c>
      <c r="N347" s="37" t="s">
        <v>224</v>
      </c>
      <c r="O347" s="37"/>
      <c r="P347" s="21" t="s">
        <v>1806</v>
      </c>
      <c r="Q347" s="37" t="s">
        <v>482</v>
      </c>
    </row>
    <row r="348" spans="1:17" ht="25">
      <c r="A348" s="37" t="s">
        <v>1371</v>
      </c>
      <c r="B348" s="37" t="s">
        <v>326</v>
      </c>
      <c r="C348" s="37" t="s">
        <v>571</v>
      </c>
      <c r="D348" s="37" t="s">
        <v>386</v>
      </c>
      <c r="E348" s="38"/>
      <c r="F348" s="37" t="s">
        <v>441</v>
      </c>
      <c r="G348" s="37"/>
      <c r="H348" s="37" t="s">
        <v>572</v>
      </c>
      <c r="I348" s="37"/>
      <c r="J348" s="37"/>
      <c r="K348" s="37" t="s">
        <v>365</v>
      </c>
      <c r="L348" s="37"/>
      <c r="M348" s="37" t="s">
        <v>211</v>
      </c>
      <c r="N348" s="37" t="s">
        <v>224</v>
      </c>
      <c r="O348" s="37"/>
      <c r="P348" s="21" t="s">
        <v>1806</v>
      </c>
      <c r="Q348" s="37" t="s">
        <v>482</v>
      </c>
    </row>
    <row r="349" spans="1:17" ht="25">
      <c r="A349" s="37" t="s">
        <v>1372</v>
      </c>
      <c r="B349" s="37" t="s">
        <v>326</v>
      </c>
      <c r="C349" s="37" t="s">
        <v>574</v>
      </c>
      <c r="D349" s="37" t="s">
        <v>386</v>
      </c>
      <c r="E349" s="38"/>
      <c r="F349" s="37" t="s">
        <v>441</v>
      </c>
      <c r="G349" s="37"/>
      <c r="H349" s="37" t="s">
        <v>575</v>
      </c>
      <c r="I349" s="37"/>
      <c r="J349" s="37"/>
      <c r="K349" s="37" t="s">
        <v>365</v>
      </c>
      <c r="L349" s="37"/>
      <c r="M349" s="37" t="s">
        <v>211</v>
      </c>
      <c r="N349" s="37" t="s">
        <v>224</v>
      </c>
      <c r="O349" s="37"/>
      <c r="P349" s="21" t="s">
        <v>1806</v>
      </c>
      <c r="Q349" s="37" t="s">
        <v>482</v>
      </c>
    </row>
    <row r="350" spans="1:17" ht="25">
      <c r="A350" s="37" t="s">
        <v>1373</v>
      </c>
      <c r="B350" s="37" t="s">
        <v>326</v>
      </c>
      <c r="C350" s="37" t="s">
        <v>577</v>
      </c>
      <c r="D350" s="37" t="s">
        <v>386</v>
      </c>
      <c r="E350" s="38"/>
      <c r="F350" s="37" t="s">
        <v>441</v>
      </c>
      <c r="G350" s="37"/>
      <c r="H350" s="37" t="s">
        <v>1374</v>
      </c>
      <c r="I350" s="37"/>
      <c r="J350" s="37"/>
      <c r="K350" s="37" t="s">
        <v>365</v>
      </c>
      <c r="L350" s="37"/>
      <c r="M350" s="37" t="s">
        <v>211</v>
      </c>
      <c r="N350" s="37" t="s">
        <v>224</v>
      </c>
      <c r="O350" s="37"/>
      <c r="P350" s="21" t="s">
        <v>1806</v>
      </c>
      <c r="Q350" s="37" t="s">
        <v>482</v>
      </c>
    </row>
    <row r="351" spans="1:17" ht="25">
      <c r="A351" s="37" t="s">
        <v>1375</v>
      </c>
      <c r="B351" s="37" t="s">
        <v>326</v>
      </c>
      <c r="C351" s="37" t="s">
        <v>580</v>
      </c>
      <c r="D351" s="37" t="s">
        <v>386</v>
      </c>
      <c r="E351" s="38"/>
      <c r="F351" s="37" t="s">
        <v>441</v>
      </c>
      <c r="G351" s="37"/>
      <c r="H351" s="37" t="s">
        <v>581</v>
      </c>
      <c r="I351" s="37"/>
      <c r="J351" s="37"/>
      <c r="K351" s="37" t="s">
        <v>365</v>
      </c>
      <c r="L351" s="37"/>
      <c r="M351" s="37" t="s">
        <v>211</v>
      </c>
      <c r="N351" s="37" t="s">
        <v>224</v>
      </c>
      <c r="O351" s="37"/>
      <c r="P351" s="21" t="s">
        <v>1806</v>
      </c>
      <c r="Q351" s="37" t="s">
        <v>482</v>
      </c>
    </row>
    <row r="352" spans="1:17" ht="25">
      <c r="A352" s="37" t="s">
        <v>1376</v>
      </c>
      <c r="B352" s="37" t="s">
        <v>326</v>
      </c>
      <c r="C352" s="37" t="s">
        <v>583</v>
      </c>
      <c r="D352" s="37" t="s">
        <v>480</v>
      </c>
      <c r="E352" s="38"/>
      <c r="F352" s="37" t="s">
        <v>441</v>
      </c>
      <c r="G352" s="37"/>
      <c r="H352" s="37"/>
      <c r="I352" s="37"/>
      <c r="J352" s="37"/>
      <c r="K352" s="37" t="s">
        <v>365</v>
      </c>
      <c r="L352" s="37"/>
      <c r="M352" s="37" t="s">
        <v>212</v>
      </c>
      <c r="N352" s="37" t="s">
        <v>224</v>
      </c>
      <c r="O352" s="37"/>
      <c r="P352" s="21" t="s">
        <v>1806</v>
      </c>
      <c r="Q352" s="37" t="s">
        <v>482</v>
      </c>
    </row>
    <row r="353" spans="1:17" ht="25">
      <c r="A353" s="37" t="s">
        <v>1377</v>
      </c>
      <c r="B353" s="37" t="s">
        <v>326</v>
      </c>
      <c r="C353" s="37" t="s">
        <v>587</v>
      </c>
      <c r="D353" s="37" t="s">
        <v>360</v>
      </c>
      <c r="E353" s="38" t="s">
        <v>1378</v>
      </c>
      <c r="F353" s="37" t="s">
        <v>362</v>
      </c>
      <c r="G353" s="37"/>
      <c r="H353" s="37" t="s">
        <v>1379</v>
      </c>
      <c r="I353" s="37">
        <v>1</v>
      </c>
      <c r="J353" s="37" t="s">
        <v>1380</v>
      </c>
      <c r="K353" s="37" t="s">
        <v>365</v>
      </c>
      <c r="L353" s="37" t="s">
        <v>366</v>
      </c>
      <c r="M353" s="37" t="s">
        <v>212</v>
      </c>
      <c r="N353" s="37" t="s">
        <v>224</v>
      </c>
      <c r="O353" s="37"/>
      <c r="P353" s="21" t="s">
        <v>1806</v>
      </c>
      <c r="Q353" s="37" t="s">
        <v>472</v>
      </c>
    </row>
    <row r="354" spans="1:17" ht="25">
      <c r="A354" s="37" t="s">
        <v>1381</v>
      </c>
      <c r="B354" s="37" t="s">
        <v>326</v>
      </c>
      <c r="C354" s="37" t="s">
        <v>450</v>
      </c>
      <c r="D354" s="37" t="s">
        <v>360</v>
      </c>
      <c r="E354" s="38">
        <v>2.15</v>
      </c>
      <c r="F354" s="37" t="s">
        <v>451</v>
      </c>
      <c r="G354" s="37" t="s">
        <v>452</v>
      </c>
      <c r="H354" s="37" t="s">
        <v>1382</v>
      </c>
      <c r="I354" s="37">
        <v>2</v>
      </c>
      <c r="J354" s="37" t="s">
        <v>1383</v>
      </c>
      <c r="K354" s="37" t="s">
        <v>365</v>
      </c>
      <c r="L354" s="37" t="s">
        <v>366</v>
      </c>
      <c r="M354" s="37" t="s">
        <v>212</v>
      </c>
      <c r="N354" s="37" t="s">
        <v>224</v>
      </c>
      <c r="O354" s="37"/>
      <c r="P354" s="21" t="s">
        <v>1806</v>
      </c>
      <c r="Q354" s="37" t="s">
        <v>472</v>
      </c>
    </row>
    <row r="355" spans="1:17" ht="25">
      <c r="A355" s="37" t="s">
        <v>1384</v>
      </c>
      <c r="B355" s="37" t="s">
        <v>326</v>
      </c>
      <c r="C355" s="37" t="s">
        <v>456</v>
      </c>
      <c r="D355" s="37" t="s">
        <v>360</v>
      </c>
      <c r="E355" s="38" t="s">
        <v>1385</v>
      </c>
      <c r="F355" s="37" t="s">
        <v>362</v>
      </c>
      <c r="G355" s="37" t="s">
        <v>458</v>
      </c>
      <c r="H355" s="37" t="s">
        <v>1386</v>
      </c>
      <c r="I355" s="37">
        <v>2</v>
      </c>
      <c r="J355" s="37" t="s">
        <v>1387</v>
      </c>
      <c r="K355" s="37" t="s">
        <v>365</v>
      </c>
      <c r="L355" s="37" t="s">
        <v>366</v>
      </c>
      <c r="M355" s="37" t="s">
        <v>212</v>
      </c>
      <c r="N355" s="37" t="s">
        <v>224</v>
      </c>
      <c r="O355" s="37"/>
      <c r="P355" s="21" t="s">
        <v>1806</v>
      </c>
      <c r="Q355" s="37" t="s">
        <v>472</v>
      </c>
    </row>
    <row r="356" spans="1:17" ht="25">
      <c r="A356" s="37" t="s">
        <v>1388</v>
      </c>
      <c r="B356" s="37" t="s">
        <v>326</v>
      </c>
      <c r="C356" s="37" t="s">
        <v>462</v>
      </c>
      <c r="D356" s="37" t="s">
        <v>360</v>
      </c>
      <c r="E356" s="38" t="s">
        <v>463</v>
      </c>
      <c r="F356" s="37" t="s">
        <v>362</v>
      </c>
      <c r="G356" s="37" t="s">
        <v>464</v>
      </c>
      <c r="H356" s="37" t="s">
        <v>463</v>
      </c>
      <c r="I356" s="37">
        <v>2</v>
      </c>
      <c r="J356" s="37" t="s">
        <v>598</v>
      </c>
      <c r="K356" s="37" t="s">
        <v>365</v>
      </c>
      <c r="L356" s="37" t="s">
        <v>366</v>
      </c>
      <c r="M356" s="37" t="s">
        <v>212</v>
      </c>
      <c r="N356" s="37" t="s">
        <v>224</v>
      </c>
      <c r="O356" s="37"/>
      <c r="P356" s="21" t="s">
        <v>1806</v>
      </c>
      <c r="Q356" s="37" t="s">
        <v>472</v>
      </c>
    </row>
    <row r="357" spans="1:17" ht="25">
      <c r="A357" s="37" t="s">
        <v>1389</v>
      </c>
      <c r="B357" s="37" t="s">
        <v>332</v>
      </c>
      <c r="C357" s="37" t="s">
        <v>359</v>
      </c>
      <c r="D357" s="37" t="s">
        <v>360</v>
      </c>
      <c r="E357" s="38" t="s">
        <v>1284</v>
      </c>
      <c r="F357" s="37" t="s">
        <v>362</v>
      </c>
      <c r="G357" s="37"/>
      <c r="H357" s="37" t="s">
        <v>1390</v>
      </c>
      <c r="I357" s="37">
        <v>4</v>
      </c>
      <c r="J357" s="37" t="s">
        <v>1391</v>
      </c>
      <c r="K357" s="37" t="s">
        <v>365</v>
      </c>
      <c r="L357" s="37" t="s">
        <v>366</v>
      </c>
      <c r="M357" s="37" t="s">
        <v>211</v>
      </c>
      <c r="N357" s="37" t="s">
        <v>224</v>
      </c>
      <c r="O357" s="37"/>
      <c r="P357" s="21" t="s">
        <v>1806</v>
      </c>
      <c r="Q357" s="37" t="s">
        <v>472</v>
      </c>
    </row>
    <row r="358" spans="1:17" ht="25">
      <c r="A358" s="37" t="s">
        <v>1392</v>
      </c>
      <c r="B358" s="37" t="s">
        <v>332</v>
      </c>
      <c r="C358" s="37" t="s">
        <v>369</v>
      </c>
      <c r="D358" s="37" t="s">
        <v>360</v>
      </c>
      <c r="E358" s="38">
        <v>6</v>
      </c>
      <c r="F358" s="37" t="s">
        <v>370</v>
      </c>
      <c r="G358" s="37"/>
      <c r="H358" s="37" t="s">
        <v>1393</v>
      </c>
      <c r="I358" s="37">
        <v>1</v>
      </c>
      <c r="J358" s="37" t="s">
        <v>1394</v>
      </c>
      <c r="K358" s="37" t="s">
        <v>365</v>
      </c>
      <c r="L358" s="37" t="s">
        <v>366</v>
      </c>
      <c r="M358" s="37" t="s">
        <v>211</v>
      </c>
      <c r="N358" s="37" t="s">
        <v>224</v>
      </c>
      <c r="O358" s="37"/>
      <c r="P358" s="21" t="s">
        <v>1806</v>
      </c>
      <c r="Q358" s="37" t="s">
        <v>472</v>
      </c>
    </row>
    <row r="359" spans="1:17" ht="25">
      <c r="A359" s="37" t="s">
        <v>1395</v>
      </c>
      <c r="B359" s="37" t="s">
        <v>332</v>
      </c>
      <c r="C359" s="37" t="s">
        <v>374</v>
      </c>
      <c r="D359" s="37" t="s">
        <v>360</v>
      </c>
      <c r="E359" s="38">
        <v>688</v>
      </c>
      <c r="F359" s="37" t="s">
        <v>370</v>
      </c>
      <c r="G359" s="37" t="s">
        <v>375</v>
      </c>
      <c r="H359" s="37" t="s">
        <v>1396</v>
      </c>
      <c r="I359" s="37">
        <v>2</v>
      </c>
      <c r="J359" s="37" t="s">
        <v>1397</v>
      </c>
      <c r="K359" s="37" t="s">
        <v>378</v>
      </c>
      <c r="L359" s="37" t="s">
        <v>366</v>
      </c>
      <c r="M359" s="37" t="s">
        <v>211</v>
      </c>
      <c r="N359" s="37" t="s">
        <v>224</v>
      </c>
      <c r="O359" s="37"/>
      <c r="P359" s="21" t="s">
        <v>1806</v>
      </c>
      <c r="Q359" s="37" t="s">
        <v>472</v>
      </c>
    </row>
    <row r="360" spans="1:17" ht="25">
      <c r="A360" s="37" t="s">
        <v>1398</v>
      </c>
      <c r="B360" s="37" t="s">
        <v>332</v>
      </c>
      <c r="C360" s="37" t="s">
        <v>380</v>
      </c>
      <c r="D360" s="37" t="s">
        <v>360</v>
      </c>
      <c r="E360" s="38">
        <v>4300</v>
      </c>
      <c r="F360" s="37" t="s">
        <v>370</v>
      </c>
      <c r="G360" s="37" t="s">
        <v>375</v>
      </c>
      <c r="H360" s="37" t="s">
        <v>1399</v>
      </c>
      <c r="I360" s="37">
        <v>2</v>
      </c>
      <c r="J360" s="37" t="s">
        <v>1400</v>
      </c>
      <c r="K360" s="37" t="s">
        <v>383</v>
      </c>
      <c r="L360" s="37" t="s">
        <v>366</v>
      </c>
      <c r="M360" s="37" t="s">
        <v>211</v>
      </c>
      <c r="N360" s="37" t="s">
        <v>224</v>
      </c>
      <c r="O360" s="37"/>
      <c r="P360" s="21" t="s">
        <v>1806</v>
      </c>
      <c r="Q360" s="37" t="s">
        <v>472</v>
      </c>
    </row>
    <row r="361" spans="1:17" ht="25">
      <c r="A361" s="37" t="s">
        <v>1401</v>
      </c>
      <c r="B361" s="37" t="s">
        <v>332</v>
      </c>
      <c r="C361" s="37" t="s">
        <v>385</v>
      </c>
      <c r="D361" s="37" t="s">
        <v>360</v>
      </c>
      <c r="E361" s="38">
        <v>5800</v>
      </c>
      <c r="F361" s="37" t="s">
        <v>370</v>
      </c>
      <c r="G361" s="37" t="s">
        <v>375</v>
      </c>
      <c r="H361" s="37" t="s">
        <v>1402</v>
      </c>
      <c r="I361" s="37">
        <v>2</v>
      </c>
      <c r="J361" s="37" t="s">
        <v>1403</v>
      </c>
      <c r="K361" s="37" t="s">
        <v>388</v>
      </c>
      <c r="L361" s="37" t="s">
        <v>366</v>
      </c>
      <c r="M361" s="37" t="s">
        <v>211</v>
      </c>
      <c r="N361" s="37" t="s">
        <v>224</v>
      </c>
      <c r="O361" s="37"/>
      <c r="P361" s="21" t="s">
        <v>1806</v>
      </c>
      <c r="Q361" s="37" t="s">
        <v>472</v>
      </c>
    </row>
    <row r="362" spans="1:17" ht="25">
      <c r="A362" s="37" t="s">
        <v>1404</v>
      </c>
      <c r="B362" s="37" t="s">
        <v>332</v>
      </c>
      <c r="C362" s="37" t="s">
        <v>390</v>
      </c>
      <c r="D362" s="37" t="s">
        <v>360</v>
      </c>
      <c r="E362" s="38">
        <v>320</v>
      </c>
      <c r="F362" s="37" t="s">
        <v>370</v>
      </c>
      <c r="G362" s="37" t="s">
        <v>391</v>
      </c>
      <c r="H362" s="37" t="s">
        <v>1405</v>
      </c>
      <c r="I362" s="37">
        <v>4</v>
      </c>
      <c r="J362" s="37" t="s">
        <v>1406</v>
      </c>
      <c r="K362" s="37" t="s">
        <v>365</v>
      </c>
      <c r="L362" s="37" t="s">
        <v>366</v>
      </c>
      <c r="M362" s="37" t="s">
        <v>211</v>
      </c>
      <c r="N362" s="37" t="s">
        <v>224</v>
      </c>
      <c r="O362" s="37"/>
      <c r="P362" s="21" t="s">
        <v>1806</v>
      </c>
      <c r="Q362" s="37" t="s">
        <v>472</v>
      </c>
    </row>
    <row r="363" spans="1:17" ht="25">
      <c r="A363" s="37" t="s">
        <v>1407</v>
      </c>
      <c r="B363" s="37" t="s">
        <v>332</v>
      </c>
      <c r="C363" s="37" t="s">
        <v>396</v>
      </c>
      <c r="D363" s="37" t="s">
        <v>360</v>
      </c>
      <c r="E363" s="38" t="s">
        <v>1408</v>
      </c>
      <c r="F363" s="37" t="s">
        <v>362</v>
      </c>
      <c r="G363" s="37"/>
      <c r="H363" s="37" t="s">
        <v>1409</v>
      </c>
      <c r="I363" s="37">
        <v>3</v>
      </c>
      <c r="J363" s="37" t="s">
        <v>1410</v>
      </c>
      <c r="K363" s="37" t="s">
        <v>365</v>
      </c>
      <c r="L363" s="37" t="s">
        <v>366</v>
      </c>
      <c r="M363" s="37" t="s">
        <v>211</v>
      </c>
      <c r="N363" s="37" t="s">
        <v>224</v>
      </c>
      <c r="O363" s="37"/>
      <c r="P363" s="21" t="s">
        <v>1806</v>
      </c>
      <c r="Q363" s="37" t="s">
        <v>472</v>
      </c>
    </row>
    <row r="364" spans="1:17" ht="25">
      <c r="A364" s="37" t="s">
        <v>1411</v>
      </c>
      <c r="B364" s="37" t="s">
        <v>332</v>
      </c>
      <c r="C364" s="37" t="s">
        <v>401</v>
      </c>
      <c r="D364" s="37" t="s">
        <v>360</v>
      </c>
      <c r="E364" s="38" t="s">
        <v>1412</v>
      </c>
      <c r="F364" s="37" t="s">
        <v>362</v>
      </c>
      <c r="G364" s="37"/>
      <c r="H364" s="37" t="s">
        <v>1413</v>
      </c>
      <c r="I364" s="37">
        <v>1</v>
      </c>
      <c r="J364" s="37" t="s">
        <v>1414</v>
      </c>
      <c r="K364" s="37" t="s">
        <v>365</v>
      </c>
      <c r="L364" s="37" t="s">
        <v>366</v>
      </c>
      <c r="M364" s="37" t="s">
        <v>211</v>
      </c>
      <c r="N364" s="37" t="s">
        <v>224</v>
      </c>
      <c r="O364" s="37"/>
      <c r="P364" s="21" t="s">
        <v>1806</v>
      </c>
      <c r="Q364" s="37" t="s">
        <v>472</v>
      </c>
    </row>
    <row r="365" spans="1:17" ht="25">
      <c r="A365" s="37" t="s">
        <v>1415</v>
      </c>
      <c r="B365" s="37" t="s">
        <v>332</v>
      </c>
      <c r="C365" s="37" t="s">
        <v>405</v>
      </c>
      <c r="D365" s="37" t="s">
        <v>360</v>
      </c>
      <c r="E365" s="38" t="s">
        <v>1416</v>
      </c>
      <c r="F365" s="37" t="s">
        <v>370</v>
      </c>
      <c r="G365" s="37"/>
      <c r="H365" s="37" t="s">
        <v>1417</v>
      </c>
      <c r="I365" s="37">
        <v>1</v>
      </c>
      <c r="J365" s="37" t="s">
        <v>1418</v>
      </c>
      <c r="K365" s="37" t="s">
        <v>365</v>
      </c>
      <c r="L365" s="37" t="s">
        <v>366</v>
      </c>
      <c r="M365" s="37" t="s">
        <v>211</v>
      </c>
      <c r="N365" s="37" t="s">
        <v>224</v>
      </c>
      <c r="O365" s="37"/>
      <c r="P365" s="21" t="s">
        <v>1806</v>
      </c>
      <c r="Q365" s="37" t="s">
        <v>472</v>
      </c>
    </row>
    <row r="366" spans="1:17" ht="25">
      <c r="A366" s="37" t="s">
        <v>1419</v>
      </c>
      <c r="B366" s="37" t="s">
        <v>332</v>
      </c>
      <c r="C366" s="37" t="s">
        <v>423</v>
      </c>
      <c r="D366" s="37" t="s">
        <v>480</v>
      </c>
      <c r="E366" s="38"/>
      <c r="F366" s="37" t="s">
        <v>362</v>
      </c>
      <c r="G366" s="37"/>
      <c r="H366" s="37"/>
      <c r="I366" s="37"/>
      <c r="J366" s="37"/>
      <c r="K366" s="37" t="s">
        <v>365</v>
      </c>
      <c r="L366" s="37"/>
      <c r="M366" s="37" t="s">
        <v>212</v>
      </c>
      <c r="N366" s="37" t="s">
        <v>224</v>
      </c>
      <c r="O366" s="37"/>
      <c r="P366" s="21" t="s">
        <v>1806</v>
      </c>
      <c r="Q366" s="37" t="s">
        <v>482</v>
      </c>
    </row>
    <row r="367" spans="1:17" ht="25">
      <c r="A367" s="37" t="s">
        <v>1420</v>
      </c>
      <c r="B367" s="37" t="s">
        <v>332</v>
      </c>
      <c r="C367" s="37" t="s">
        <v>428</v>
      </c>
      <c r="D367" s="37" t="s">
        <v>360</v>
      </c>
      <c r="E367" s="38" t="s">
        <v>1421</v>
      </c>
      <c r="F367" s="37" t="s">
        <v>362</v>
      </c>
      <c r="G367" s="37" t="s">
        <v>430</v>
      </c>
      <c r="H367" s="37" t="s">
        <v>1422</v>
      </c>
      <c r="I367" s="37">
        <v>2</v>
      </c>
      <c r="J367" s="37" t="s">
        <v>1423</v>
      </c>
      <c r="K367" s="37" t="s">
        <v>426</v>
      </c>
      <c r="L367" s="37" t="s">
        <v>366</v>
      </c>
      <c r="M367" s="37" t="s">
        <v>212</v>
      </c>
      <c r="N367" s="37" t="s">
        <v>224</v>
      </c>
      <c r="O367" s="37"/>
      <c r="P367" s="21" t="s">
        <v>1806</v>
      </c>
      <c r="Q367" s="37" t="s">
        <v>472</v>
      </c>
    </row>
    <row r="368" spans="1:17" ht="25">
      <c r="A368" s="37" t="s">
        <v>1424</v>
      </c>
      <c r="B368" s="37" t="s">
        <v>332</v>
      </c>
      <c r="C368" s="37" t="s">
        <v>434</v>
      </c>
      <c r="D368" s="37" t="s">
        <v>360</v>
      </c>
      <c r="E368" s="38" t="s">
        <v>1425</v>
      </c>
      <c r="F368" s="37" t="s">
        <v>362</v>
      </c>
      <c r="G368" s="37"/>
      <c r="H368" s="37" t="s">
        <v>1426</v>
      </c>
      <c r="I368" s="37">
        <v>4</v>
      </c>
      <c r="J368" s="37" t="s">
        <v>1427</v>
      </c>
      <c r="K368" s="37" t="s">
        <v>365</v>
      </c>
      <c r="L368" s="37" t="s">
        <v>366</v>
      </c>
      <c r="M368" s="37" t="s">
        <v>212</v>
      </c>
      <c r="N368" s="37" t="s">
        <v>224</v>
      </c>
      <c r="O368" s="37"/>
      <c r="P368" s="21" t="s">
        <v>1806</v>
      </c>
      <c r="Q368" s="37" t="s">
        <v>472</v>
      </c>
    </row>
    <row r="369" spans="1:17" ht="25">
      <c r="A369" s="37" t="s">
        <v>1428</v>
      </c>
      <c r="B369" s="37" t="s">
        <v>332</v>
      </c>
      <c r="C369" s="37" t="s">
        <v>450</v>
      </c>
      <c r="D369" s="37" t="s">
        <v>360</v>
      </c>
      <c r="E369" s="38">
        <v>22</v>
      </c>
      <c r="F369" s="37" t="s">
        <v>451</v>
      </c>
      <c r="G369" s="37" t="s">
        <v>452</v>
      </c>
      <c r="H369" s="37" t="s">
        <v>1429</v>
      </c>
      <c r="I369" s="37">
        <v>3</v>
      </c>
      <c r="J369" s="37" t="s">
        <v>1430</v>
      </c>
      <c r="K369" s="37" t="s">
        <v>365</v>
      </c>
      <c r="L369" s="37" t="s">
        <v>366</v>
      </c>
      <c r="M369" s="37" t="s">
        <v>212</v>
      </c>
      <c r="N369" s="37" t="s">
        <v>224</v>
      </c>
      <c r="O369" s="37"/>
      <c r="P369" s="21" t="s">
        <v>1806</v>
      </c>
      <c r="Q369" s="37" t="s">
        <v>472</v>
      </c>
    </row>
    <row r="370" spans="1:17" ht="25">
      <c r="A370" s="37" t="s">
        <v>1431</v>
      </c>
      <c r="B370" s="37" t="s">
        <v>332</v>
      </c>
      <c r="C370" s="37" t="s">
        <v>456</v>
      </c>
      <c r="D370" s="37" t="s">
        <v>360</v>
      </c>
      <c r="E370" s="38" t="s">
        <v>1432</v>
      </c>
      <c r="F370" s="37" t="s">
        <v>362</v>
      </c>
      <c r="G370" s="37" t="s">
        <v>458</v>
      </c>
      <c r="H370" s="37" t="s">
        <v>1432</v>
      </c>
      <c r="I370" s="37">
        <v>1</v>
      </c>
      <c r="J370" s="37" t="s">
        <v>1433</v>
      </c>
      <c r="K370" s="37" t="s">
        <v>365</v>
      </c>
      <c r="L370" s="37" t="s">
        <v>366</v>
      </c>
      <c r="M370" s="37" t="s">
        <v>212</v>
      </c>
      <c r="N370" s="37" t="s">
        <v>224</v>
      </c>
      <c r="O370" s="37"/>
      <c r="P370" s="21" t="s">
        <v>1806</v>
      </c>
      <c r="Q370" s="37" t="s">
        <v>472</v>
      </c>
    </row>
    <row r="371" spans="1:17" ht="25">
      <c r="A371" s="37" t="s">
        <v>1434</v>
      </c>
      <c r="B371" s="37" t="s">
        <v>332</v>
      </c>
      <c r="C371" s="37" t="s">
        <v>462</v>
      </c>
      <c r="D371" s="37" t="s">
        <v>360</v>
      </c>
      <c r="E371" s="38" t="s">
        <v>1435</v>
      </c>
      <c r="F371" s="37" t="s">
        <v>362</v>
      </c>
      <c r="G371" s="37" t="s">
        <v>464</v>
      </c>
      <c r="H371" s="37" t="s">
        <v>1436</v>
      </c>
      <c r="I371" s="37">
        <v>4</v>
      </c>
      <c r="J371" s="37" t="s">
        <v>1437</v>
      </c>
      <c r="K371" s="37" t="s">
        <v>365</v>
      </c>
      <c r="L371" s="37" t="s">
        <v>366</v>
      </c>
      <c r="M371" s="37" t="s">
        <v>212</v>
      </c>
      <c r="N371" s="37" t="s">
        <v>224</v>
      </c>
      <c r="O371" s="37"/>
      <c r="P371" s="21" t="s">
        <v>1806</v>
      </c>
      <c r="Q371" s="37" t="s">
        <v>472</v>
      </c>
    </row>
    <row r="372" spans="1:17" ht="25">
      <c r="A372" s="37" t="s">
        <v>1438</v>
      </c>
      <c r="B372" s="37" t="s">
        <v>339</v>
      </c>
      <c r="C372" s="37" t="s">
        <v>468</v>
      </c>
      <c r="D372" s="37" t="s">
        <v>360</v>
      </c>
      <c r="E372" s="38" t="s">
        <v>1439</v>
      </c>
      <c r="F372" s="37" t="s">
        <v>362</v>
      </c>
      <c r="G372" s="37"/>
      <c r="H372" s="37" t="s">
        <v>1440</v>
      </c>
      <c r="I372" s="37">
        <v>1</v>
      </c>
      <c r="J372" s="37" t="s">
        <v>1441</v>
      </c>
      <c r="K372" s="37" t="s">
        <v>365</v>
      </c>
      <c r="L372" s="37" t="s">
        <v>366</v>
      </c>
      <c r="M372" s="37" t="s">
        <v>211</v>
      </c>
      <c r="N372" s="37" t="s">
        <v>224</v>
      </c>
      <c r="O372" s="37"/>
      <c r="P372" s="21" t="s">
        <v>1806</v>
      </c>
      <c r="Q372" s="37" t="s">
        <v>472</v>
      </c>
    </row>
    <row r="373" spans="1:17" ht="25">
      <c r="A373" s="37" t="s">
        <v>1442</v>
      </c>
      <c r="B373" s="37" t="s">
        <v>339</v>
      </c>
      <c r="C373" s="37" t="s">
        <v>474</v>
      </c>
      <c r="D373" s="37" t="s">
        <v>360</v>
      </c>
      <c r="E373" s="38" t="s">
        <v>1443</v>
      </c>
      <c r="F373" s="37" t="s">
        <v>362</v>
      </c>
      <c r="G373" s="37"/>
      <c r="H373" s="37" t="s">
        <v>1444</v>
      </c>
      <c r="I373" s="37">
        <v>1</v>
      </c>
      <c r="J373" s="37" t="s">
        <v>1445</v>
      </c>
      <c r="K373" s="37" t="s">
        <v>365</v>
      </c>
      <c r="L373" s="37" t="s">
        <v>366</v>
      </c>
      <c r="M373" s="37" t="s">
        <v>211</v>
      </c>
      <c r="N373" s="37" t="s">
        <v>224</v>
      </c>
      <c r="O373" s="37"/>
      <c r="P373" s="21" t="s">
        <v>1806</v>
      </c>
      <c r="Q373" s="37" t="s">
        <v>472</v>
      </c>
    </row>
    <row r="374" spans="1:17" ht="25">
      <c r="A374" s="37" t="s">
        <v>1446</v>
      </c>
      <c r="B374" s="37" t="s">
        <v>339</v>
      </c>
      <c r="C374" s="37" t="s">
        <v>479</v>
      </c>
      <c r="D374" s="37" t="s">
        <v>480</v>
      </c>
      <c r="E374" s="38"/>
      <c r="F374" s="37" t="s">
        <v>451</v>
      </c>
      <c r="G374" s="37" t="s">
        <v>375</v>
      </c>
      <c r="H374" s="37" t="s">
        <v>1447</v>
      </c>
      <c r="I374" s="37"/>
      <c r="J374" s="37"/>
      <c r="K374" s="37" t="s">
        <v>365</v>
      </c>
      <c r="L374" s="37"/>
      <c r="M374" s="37" t="s">
        <v>211</v>
      </c>
      <c r="N374" s="37" t="s">
        <v>224</v>
      </c>
      <c r="O374" s="37"/>
      <c r="P374" s="21" t="s">
        <v>1806</v>
      </c>
      <c r="Q374" s="37" t="s">
        <v>482</v>
      </c>
    </row>
    <row r="375" spans="1:17" ht="25">
      <c r="A375" s="37" t="s">
        <v>1448</v>
      </c>
      <c r="B375" s="37" t="s">
        <v>339</v>
      </c>
      <c r="C375" s="37" t="s">
        <v>484</v>
      </c>
      <c r="D375" s="37" t="s">
        <v>480</v>
      </c>
      <c r="E375" s="38"/>
      <c r="F375" s="37" t="s">
        <v>451</v>
      </c>
      <c r="G375" s="37" t="s">
        <v>375</v>
      </c>
      <c r="H375" s="37" t="s">
        <v>1449</v>
      </c>
      <c r="I375" s="37"/>
      <c r="J375" s="37"/>
      <c r="K375" s="37" t="s">
        <v>365</v>
      </c>
      <c r="L375" s="37"/>
      <c r="M375" s="37" t="s">
        <v>211</v>
      </c>
      <c r="N375" s="37" t="s">
        <v>224</v>
      </c>
      <c r="O375" s="37"/>
      <c r="P375" s="21" t="s">
        <v>1806</v>
      </c>
      <c r="Q375" s="37" t="s">
        <v>482</v>
      </c>
    </row>
    <row r="376" spans="1:17" ht="25">
      <c r="A376" s="37" t="s">
        <v>1450</v>
      </c>
      <c r="B376" s="37" t="s">
        <v>339</v>
      </c>
      <c r="C376" s="37" t="s">
        <v>486</v>
      </c>
      <c r="D376" s="37" t="s">
        <v>480</v>
      </c>
      <c r="E376" s="38"/>
      <c r="F376" s="37" t="s">
        <v>451</v>
      </c>
      <c r="G376" s="37" t="s">
        <v>375</v>
      </c>
      <c r="H376" s="37" t="s">
        <v>1451</v>
      </c>
      <c r="I376" s="37"/>
      <c r="J376" s="37"/>
      <c r="K376" s="37" t="s">
        <v>365</v>
      </c>
      <c r="L376" s="37"/>
      <c r="M376" s="37" t="s">
        <v>211</v>
      </c>
      <c r="N376" s="37" t="s">
        <v>224</v>
      </c>
      <c r="O376" s="37"/>
      <c r="P376" s="21" t="s">
        <v>1806</v>
      </c>
      <c r="Q376" s="37" t="s">
        <v>482</v>
      </c>
    </row>
    <row r="377" spans="1:17" ht="25">
      <c r="A377" s="37" t="s">
        <v>1452</v>
      </c>
      <c r="B377" s="37" t="s">
        <v>339</v>
      </c>
      <c r="C377" s="37" t="s">
        <v>488</v>
      </c>
      <c r="D377" s="37" t="s">
        <v>360</v>
      </c>
      <c r="E377" s="38" t="s">
        <v>1416</v>
      </c>
      <c r="F377" s="37" t="s">
        <v>370</v>
      </c>
      <c r="G377" s="37"/>
      <c r="H377" s="37" t="s">
        <v>1453</v>
      </c>
      <c r="I377" s="37">
        <v>1</v>
      </c>
      <c r="J377" s="37" t="s">
        <v>1454</v>
      </c>
      <c r="K377" s="37" t="s">
        <v>365</v>
      </c>
      <c r="L377" s="37" t="s">
        <v>366</v>
      </c>
      <c r="M377" s="37" t="s">
        <v>211</v>
      </c>
      <c r="N377" s="37" t="s">
        <v>224</v>
      </c>
      <c r="O377" s="37"/>
      <c r="P377" s="21" t="s">
        <v>1806</v>
      </c>
      <c r="Q377" s="37" t="s">
        <v>472</v>
      </c>
    </row>
    <row r="378" spans="1:17" ht="25">
      <c r="A378" s="37" t="s">
        <v>1455</v>
      </c>
      <c r="B378" s="37" t="s">
        <v>339</v>
      </c>
      <c r="C378" s="37" t="s">
        <v>492</v>
      </c>
      <c r="D378" s="37" t="s">
        <v>360</v>
      </c>
      <c r="E378" s="38" t="s">
        <v>1456</v>
      </c>
      <c r="F378" s="37" t="s">
        <v>362</v>
      </c>
      <c r="G378" s="37"/>
      <c r="H378" s="37" t="s">
        <v>1457</v>
      </c>
      <c r="I378" s="37">
        <v>2</v>
      </c>
      <c r="J378" s="37" t="s">
        <v>1458</v>
      </c>
      <c r="K378" s="37" t="s">
        <v>365</v>
      </c>
      <c r="L378" s="37" t="s">
        <v>366</v>
      </c>
      <c r="M378" s="37" t="s">
        <v>211</v>
      </c>
      <c r="N378" s="37" t="s">
        <v>224</v>
      </c>
      <c r="O378" s="37"/>
      <c r="P378" s="21" t="s">
        <v>1806</v>
      </c>
      <c r="Q378" s="37" t="s">
        <v>472</v>
      </c>
    </row>
    <row r="379" spans="1:17" ht="25">
      <c r="A379" s="37" t="s">
        <v>1459</v>
      </c>
      <c r="B379" s="37" t="s">
        <v>339</v>
      </c>
      <c r="C379" s="37" t="s">
        <v>512</v>
      </c>
      <c r="D379" s="37" t="s">
        <v>360</v>
      </c>
      <c r="E379" s="38" t="s">
        <v>1425</v>
      </c>
      <c r="F379" s="37" t="s">
        <v>362</v>
      </c>
      <c r="G379" s="37"/>
      <c r="H379" s="37" t="s">
        <v>1460</v>
      </c>
      <c r="I379" s="37">
        <v>1</v>
      </c>
      <c r="J379" s="37" t="s">
        <v>1461</v>
      </c>
      <c r="K379" s="37" t="s">
        <v>365</v>
      </c>
      <c r="L379" s="37" t="s">
        <v>366</v>
      </c>
      <c r="M379" s="37" t="s">
        <v>211</v>
      </c>
      <c r="N379" s="37" t="s">
        <v>224</v>
      </c>
      <c r="O379" s="37"/>
      <c r="P379" s="21" t="s">
        <v>1806</v>
      </c>
      <c r="Q379" s="37" t="s">
        <v>472</v>
      </c>
    </row>
    <row r="380" spans="1:17" ht="25">
      <c r="A380" s="37" t="s">
        <v>1462</v>
      </c>
      <c r="B380" s="37" t="s">
        <v>339</v>
      </c>
      <c r="C380" s="37" t="s">
        <v>1463</v>
      </c>
      <c r="D380" s="37" t="s">
        <v>386</v>
      </c>
      <c r="E380" s="38"/>
      <c r="F380" s="37" t="s">
        <v>370</v>
      </c>
      <c r="G380" s="37"/>
      <c r="H380" s="37" t="s">
        <v>1464</v>
      </c>
      <c r="I380" s="37"/>
      <c r="J380" s="37"/>
      <c r="K380" s="37" t="s">
        <v>365</v>
      </c>
      <c r="L380" s="37"/>
      <c r="M380" s="37" t="s">
        <v>211</v>
      </c>
      <c r="N380" s="37" t="s">
        <v>224</v>
      </c>
      <c r="O380" s="37"/>
      <c r="P380" s="21" t="s">
        <v>1806</v>
      </c>
      <c r="Q380" s="37" t="s">
        <v>482</v>
      </c>
    </row>
    <row r="381" spans="1:17" ht="25">
      <c r="A381" s="37" t="s">
        <v>1465</v>
      </c>
      <c r="B381" s="37" t="s">
        <v>339</v>
      </c>
      <c r="C381" s="37" t="s">
        <v>1466</v>
      </c>
      <c r="D381" s="37" t="s">
        <v>386</v>
      </c>
      <c r="E381" s="38"/>
      <c r="F381" s="37" t="s">
        <v>451</v>
      </c>
      <c r="G381" s="37" t="s">
        <v>452</v>
      </c>
      <c r="H381" s="37" t="s">
        <v>1467</v>
      </c>
      <c r="I381" s="37"/>
      <c r="J381" s="37"/>
      <c r="K381" s="37" t="s">
        <v>365</v>
      </c>
      <c r="L381" s="37"/>
      <c r="M381" s="37" t="s">
        <v>211</v>
      </c>
      <c r="N381" s="37" t="s">
        <v>224</v>
      </c>
      <c r="O381" s="37"/>
      <c r="P381" s="21" t="s">
        <v>1806</v>
      </c>
      <c r="Q381" s="37" t="s">
        <v>482</v>
      </c>
    </row>
    <row r="382" spans="1:17" ht="25">
      <c r="A382" s="37" t="s">
        <v>1468</v>
      </c>
      <c r="B382" s="37" t="s">
        <v>339</v>
      </c>
      <c r="C382" s="37" t="s">
        <v>396</v>
      </c>
      <c r="D382" s="37" t="s">
        <v>360</v>
      </c>
      <c r="E382" s="38" t="s">
        <v>1469</v>
      </c>
      <c r="F382" s="37" t="s">
        <v>362</v>
      </c>
      <c r="G382" s="37"/>
      <c r="H382" s="37" t="s">
        <v>1470</v>
      </c>
      <c r="I382" s="37">
        <v>2</v>
      </c>
      <c r="J382" s="37" t="s">
        <v>1471</v>
      </c>
      <c r="K382" s="37" t="s">
        <v>365</v>
      </c>
      <c r="L382" s="37" t="s">
        <v>366</v>
      </c>
      <c r="M382" s="37" t="s">
        <v>212</v>
      </c>
      <c r="N382" s="37" t="s">
        <v>224</v>
      </c>
      <c r="O382" s="37"/>
      <c r="P382" s="21" t="s">
        <v>1806</v>
      </c>
      <c r="Q382" s="37" t="s">
        <v>472</v>
      </c>
    </row>
    <row r="383" spans="1:17" ht="25">
      <c r="A383" s="37" t="s">
        <v>1472</v>
      </c>
      <c r="B383" s="37" t="s">
        <v>339</v>
      </c>
      <c r="C383" s="37" t="s">
        <v>1473</v>
      </c>
      <c r="D383" s="37" t="s">
        <v>360</v>
      </c>
      <c r="E383" s="38" t="s">
        <v>1474</v>
      </c>
      <c r="F383" s="37" t="s">
        <v>362</v>
      </c>
      <c r="G383" s="37"/>
      <c r="H383" s="37" t="s">
        <v>1475</v>
      </c>
      <c r="I383" s="37">
        <v>3</v>
      </c>
      <c r="J383" s="37" t="s">
        <v>1476</v>
      </c>
      <c r="K383" s="37" t="s">
        <v>365</v>
      </c>
      <c r="L383" s="37" t="s">
        <v>366</v>
      </c>
      <c r="M383" s="37" t="s">
        <v>212</v>
      </c>
      <c r="N383" s="37" t="s">
        <v>224</v>
      </c>
      <c r="O383" s="37"/>
      <c r="P383" s="21" t="s">
        <v>1806</v>
      </c>
      <c r="Q383" s="37" t="s">
        <v>472</v>
      </c>
    </row>
    <row r="384" spans="1:17" ht="25">
      <c r="A384" s="37" t="s">
        <v>1477</v>
      </c>
      <c r="B384" s="37" t="s">
        <v>339</v>
      </c>
      <c r="C384" s="37" t="s">
        <v>450</v>
      </c>
      <c r="D384" s="37" t="s">
        <v>360</v>
      </c>
      <c r="E384" s="38">
        <v>6.2</v>
      </c>
      <c r="F384" s="37" t="s">
        <v>451</v>
      </c>
      <c r="G384" s="37" t="s">
        <v>452</v>
      </c>
      <c r="H384" s="37" t="s">
        <v>1478</v>
      </c>
      <c r="I384" s="37">
        <v>3</v>
      </c>
      <c r="J384" s="37" t="s">
        <v>1479</v>
      </c>
      <c r="K384" s="37" t="s">
        <v>365</v>
      </c>
      <c r="L384" s="37" t="s">
        <v>366</v>
      </c>
      <c r="M384" s="37" t="s">
        <v>212</v>
      </c>
      <c r="N384" s="37" t="s">
        <v>224</v>
      </c>
      <c r="O384" s="37"/>
      <c r="P384" s="21" t="s">
        <v>1806</v>
      </c>
      <c r="Q384" s="37" t="s">
        <v>472</v>
      </c>
    </row>
    <row r="385" spans="1:17" ht="25">
      <c r="A385" s="37" t="s">
        <v>1480</v>
      </c>
      <c r="B385" s="37" t="s">
        <v>339</v>
      </c>
      <c r="C385" s="37" t="s">
        <v>456</v>
      </c>
      <c r="D385" s="37" t="s">
        <v>360</v>
      </c>
      <c r="E385" s="38" t="s">
        <v>1481</v>
      </c>
      <c r="F385" s="37" t="s">
        <v>362</v>
      </c>
      <c r="G385" s="37" t="s">
        <v>458</v>
      </c>
      <c r="H385" s="37" t="s">
        <v>1481</v>
      </c>
      <c r="I385" s="37">
        <v>1</v>
      </c>
      <c r="J385" s="37" t="s">
        <v>1482</v>
      </c>
      <c r="K385" s="37" t="s">
        <v>365</v>
      </c>
      <c r="L385" s="37" t="s">
        <v>366</v>
      </c>
      <c r="M385" s="37" t="s">
        <v>212</v>
      </c>
      <c r="N385" s="37" t="s">
        <v>224</v>
      </c>
      <c r="O385" s="37"/>
      <c r="P385" s="21" t="s">
        <v>1806</v>
      </c>
      <c r="Q385" s="37" t="s">
        <v>472</v>
      </c>
    </row>
    <row r="386" spans="1:17" ht="25">
      <c r="A386" s="37" t="s">
        <v>1483</v>
      </c>
      <c r="B386" s="37" t="s">
        <v>339</v>
      </c>
      <c r="C386" s="37" t="s">
        <v>462</v>
      </c>
      <c r="D386" s="37" t="s">
        <v>360</v>
      </c>
      <c r="E386" s="38" t="s">
        <v>1190</v>
      </c>
      <c r="F386" s="37" t="s">
        <v>362</v>
      </c>
      <c r="G386" s="37" t="s">
        <v>464</v>
      </c>
      <c r="H386" s="37" t="s">
        <v>1484</v>
      </c>
      <c r="I386" s="37">
        <v>4</v>
      </c>
      <c r="J386" s="37" t="s">
        <v>1485</v>
      </c>
      <c r="K386" s="37" t="s">
        <v>365</v>
      </c>
      <c r="L386" s="37" t="s">
        <v>366</v>
      </c>
      <c r="M386" s="37" t="s">
        <v>212</v>
      </c>
      <c r="N386" s="37" t="s">
        <v>224</v>
      </c>
      <c r="O386" s="37"/>
      <c r="P386" s="21" t="s">
        <v>1806</v>
      </c>
      <c r="Q386" s="37" t="s">
        <v>472</v>
      </c>
    </row>
  </sheetData>
  <mergeCells count="2">
    <mergeCell ref="A1:Q1"/>
    <mergeCell ref="A2:Q2"/>
  </mergeCells>
  <phoneticPr fontId="13" type="noConversion"/>
  <dataValidations count="6">
    <dataValidation type="list" sqref="D6:D386" xr:uid="{00000000-0002-0000-0400-000000000000}">
      <formula1>"Published,Not Published,Not Applicable,Unknown"</formula1>
    </dataValidation>
    <dataValidation type="list" sqref="F6:F386" xr:uid="{00000000-0002-0000-0400-000001000000}">
      <formula1>"text,integer,decimal,boolean,choice"</formula1>
    </dataValidation>
    <dataValidation type="list" sqref="L6:L386" xr:uid="{00000000-0002-0000-0400-000002000000}">
      <formula1>"A,B,C"</formula1>
    </dataValidation>
    <dataValidation type="list" sqref="M6:M386" xr:uid="{00000000-0002-0000-0400-000003000000}">
      <formula1>"Yes,No"</formula1>
    </dataValidation>
    <dataValidation type="list" sqref="P6:P386" xr:uid="{00000000-0002-0000-0400-000004000000}">
      <formula1>"Draft,Annotated,In Review,Approved,Rejected"</formula1>
    </dataValidation>
    <dataValidation type="whole" sqref="I6:I386" xr:uid="{00000000-0002-0000-0400-000005000000}">
      <formula1>1</formula1>
      <formula2>1000</formula2>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5"/>
  <sheetViews>
    <sheetView showGridLines="0" workbookViewId="0"/>
  </sheetViews>
  <sheetFormatPr defaultRowHeight="14"/>
  <cols>
    <col min="1" max="1" width="22" customWidth="1"/>
    <col min="2" max="2" width="16" customWidth="1"/>
    <col min="3" max="3" width="18" customWidth="1"/>
    <col min="4" max="4" width="20" customWidth="1"/>
    <col min="5" max="5" width="18" customWidth="1"/>
    <col min="6" max="6" width="20" customWidth="1"/>
    <col min="7" max="7" width="15" customWidth="1"/>
    <col min="8" max="8" width="50" customWidth="1"/>
    <col min="9" max="9" width="18" customWidth="1"/>
    <col min="10" max="10" width="24" customWidth="1"/>
    <col min="11" max="11" width="38" customWidth="1"/>
  </cols>
  <sheetData>
    <row r="1" spans="1:11" ht="34" customHeight="1">
      <c r="A1" s="41" t="s">
        <v>1486</v>
      </c>
      <c r="B1" s="41"/>
      <c r="C1" s="41"/>
      <c r="D1" s="41"/>
      <c r="E1" s="41"/>
      <c r="F1" s="41"/>
      <c r="G1" s="41"/>
      <c r="H1" s="41"/>
      <c r="I1" s="41"/>
      <c r="J1" s="41"/>
      <c r="K1" s="41"/>
    </row>
    <row r="2" spans="1:11" ht="28" customHeight="1">
      <c r="A2" s="42" t="s">
        <v>1487</v>
      </c>
      <c r="B2" s="42"/>
      <c r="C2" s="42"/>
      <c r="D2" s="42"/>
      <c r="E2" s="42"/>
      <c r="F2" s="42"/>
      <c r="G2" s="42"/>
      <c r="H2" s="42"/>
      <c r="I2" s="42"/>
      <c r="J2" s="42"/>
      <c r="K2" s="42"/>
    </row>
    <row r="3" spans="1:11" ht="14.5">
      <c r="A3" s="1"/>
      <c r="B3" s="1"/>
      <c r="C3" s="1"/>
      <c r="D3" s="1"/>
      <c r="E3" s="1"/>
      <c r="F3" s="1"/>
      <c r="G3" s="1"/>
      <c r="H3" s="1"/>
      <c r="I3" s="1"/>
      <c r="J3" s="1"/>
      <c r="K3" s="1"/>
    </row>
    <row r="4" spans="1:11" ht="14.5">
      <c r="A4" s="1"/>
      <c r="B4" s="1"/>
      <c r="C4" s="1"/>
      <c r="D4" s="1"/>
      <c r="E4" s="1"/>
      <c r="F4" s="1"/>
      <c r="G4" s="1"/>
      <c r="H4" s="1"/>
      <c r="I4" s="1"/>
      <c r="J4" s="1"/>
      <c r="K4" s="1"/>
    </row>
    <row r="5" spans="1:11" ht="32" customHeight="1">
      <c r="A5" s="3" t="s">
        <v>1488</v>
      </c>
      <c r="B5" s="4" t="s">
        <v>182</v>
      </c>
      <c r="C5" s="4" t="s">
        <v>1489</v>
      </c>
      <c r="D5" s="4" t="s">
        <v>184</v>
      </c>
      <c r="E5" s="4" t="s">
        <v>1490</v>
      </c>
      <c r="F5" s="4" t="s">
        <v>1491</v>
      </c>
      <c r="G5" s="4" t="s">
        <v>1492</v>
      </c>
      <c r="H5" s="4" t="s">
        <v>353</v>
      </c>
      <c r="I5" s="4" t="s">
        <v>1493</v>
      </c>
      <c r="J5" s="4" t="s">
        <v>1494</v>
      </c>
      <c r="K5" s="5" t="s">
        <v>201</v>
      </c>
    </row>
    <row r="6" spans="1:11">
      <c r="A6" s="18"/>
      <c r="B6" s="18"/>
      <c r="C6" s="7" t="str">
        <f>IFERROR(INDEX(案例清单!$P$6:$P$55,MATCH(B6,案例清单!$A$6:$A$55,0)),"")</f>
        <v/>
      </c>
      <c r="D6" s="7" t="str">
        <f>IFERROR(INDEX(案例清单!$C$6:$C$55,MATCH(B6,案例清单!$A$6:$A$55,0)),"")</f>
        <v/>
      </c>
      <c r="E6" s="18"/>
      <c r="F6" s="18"/>
      <c r="G6" s="18"/>
      <c r="H6" s="18"/>
      <c r="I6" s="7" t="str">
        <f t="shared" ref="I6:I37" si="0">IF(OR(A6="",B6="",E6=""),"",IF(AND(C6="Yes",E6="Yes",UPPER(TRIM(D6))=UPPER(TRIM(F6))),"Correct",IF(AND(C6="No",E6="No"),"Correct",IF(AND(C6="No",E6="Yes"),"False Accept",IF(AND(C6="Yes",E6="No"),"False Reject","Wrong Model")))))</f>
        <v/>
      </c>
      <c r="J6" s="18"/>
      <c r="K6" s="18"/>
    </row>
    <row r="7" spans="1:11">
      <c r="A7" s="21"/>
      <c r="B7" s="21"/>
      <c r="C7" s="8" t="str">
        <f>IFERROR(INDEX(案例清单!$P$6:$P$55,MATCH(B7,案例清单!$A$6:$A$55,0)),"")</f>
        <v/>
      </c>
      <c r="D7" s="8" t="str">
        <f>IFERROR(INDEX(案例清单!$C$6:$C$55,MATCH(B7,案例清单!$A$6:$A$55,0)),"")</f>
        <v/>
      </c>
      <c r="E7" s="21"/>
      <c r="F7" s="21"/>
      <c r="G7" s="21"/>
      <c r="H7" s="21"/>
      <c r="I7" s="8" t="str">
        <f t="shared" si="0"/>
        <v/>
      </c>
      <c r="J7" s="21"/>
      <c r="K7" s="21"/>
    </row>
    <row r="8" spans="1:11">
      <c r="A8" s="21"/>
      <c r="B8" s="21"/>
      <c r="C8" s="8" t="str">
        <f>IFERROR(INDEX(案例清单!$P$6:$P$55,MATCH(B8,案例清单!$A$6:$A$55,0)),"")</f>
        <v/>
      </c>
      <c r="D8" s="8" t="str">
        <f>IFERROR(INDEX(案例清单!$C$6:$C$55,MATCH(B8,案例清单!$A$6:$A$55,0)),"")</f>
        <v/>
      </c>
      <c r="E8" s="21"/>
      <c r="F8" s="21"/>
      <c r="G8" s="21"/>
      <c r="H8" s="21"/>
      <c r="I8" s="8" t="str">
        <f t="shared" si="0"/>
        <v/>
      </c>
      <c r="J8" s="21"/>
      <c r="K8" s="21"/>
    </row>
    <row r="9" spans="1:11">
      <c r="A9" s="21"/>
      <c r="B9" s="21"/>
      <c r="C9" s="8" t="str">
        <f>IFERROR(INDEX(案例清单!$P$6:$P$55,MATCH(B9,案例清单!$A$6:$A$55,0)),"")</f>
        <v/>
      </c>
      <c r="D9" s="8" t="str">
        <f>IFERROR(INDEX(案例清单!$C$6:$C$55,MATCH(B9,案例清单!$A$6:$A$55,0)),"")</f>
        <v/>
      </c>
      <c r="E9" s="21"/>
      <c r="F9" s="21"/>
      <c r="G9" s="21"/>
      <c r="H9" s="21"/>
      <c r="I9" s="8" t="str">
        <f t="shared" si="0"/>
        <v/>
      </c>
      <c r="J9" s="21"/>
      <c r="K9" s="21"/>
    </row>
    <row r="10" spans="1:11">
      <c r="A10" s="21"/>
      <c r="B10" s="21"/>
      <c r="C10" s="8" t="str">
        <f>IFERROR(INDEX(案例清单!$P$6:$P$55,MATCH(B10,案例清单!$A$6:$A$55,0)),"")</f>
        <v/>
      </c>
      <c r="D10" s="8" t="str">
        <f>IFERROR(INDEX(案例清单!$C$6:$C$55,MATCH(B10,案例清单!$A$6:$A$55,0)),"")</f>
        <v/>
      </c>
      <c r="E10" s="21"/>
      <c r="F10" s="21"/>
      <c r="G10" s="21"/>
      <c r="H10" s="21"/>
      <c r="I10" s="8" t="str">
        <f t="shared" si="0"/>
        <v/>
      </c>
      <c r="J10" s="21"/>
      <c r="K10" s="21"/>
    </row>
    <row r="11" spans="1:11">
      <c r="A11" s="21"/>
      <c r="B11" s="21"/>
      <c r="C11" s="8" t="str">
        <f>IFERROR(INDEX(案例清单!$P$6:$P$55,MATCH(B11,案例清单!$A$6:$A$55,0)),"")</f>
        <v/>
      </c>
      <c r="D11" s="8" t="str">
        <f>IFERROR(INDEX(案例清单!$C$6:$C$55,MATCH(B11,案例清单!$A$6:$A$55,0)),"")</f>
        <v/>
      </c>
      <c r="E11" s="21"/>
      <c r="F11" s="21"/>
      <c r="G11" s="21"/>
      <c r="H11" s="21"/>
      <c r="I11" s="8" t="str">
        <f t="shared" si="0"/>
        <v/>
      </c>
      <c r="J11" s="21"/>
      <c r="K11" s="21"/>
    </row>
    <row r="12" spans="1:11">
      <c r="A12" s="21"/>
      <c r="B12" s="21"/>
      <c r="C12" s="8" t="str">
        <f>IFERROR(INDEX(案例清单!$P$6:$P$55,MATCH(B12,案例清单!$A$6:$A$55,0)),"")</f>
        <v/>
      </c>
      <c r="D12" s="8" t="str">
        <f>IFERROR(INDEX(案例清单!$C$6:$C$55,MATCH(B12,案例清单!$A$6:$A$55,0)),"")</f>
        <v/>
      </c>
      <c r="E12" s="21"/>
      <c r="F12" s="21"/>
      <c r="G12" s="21"/>
      <c r="H12" s="21"/>
      <c r="I12" s="8" t="str">
        <f t="shared" si="0"/>
        <v/>
      </c>
      <c r="J12" s="21"/>
      <c r="K12" s="21"/>
    </row>
    <row r="13" spans="1:11">
      <c r="A13" s="21"/>
      <c r="B13" s="21"/>
      <c r="C13" s="8" t="str">
        <f>IFERROR(INDEX(案例清单!$P$6:$P$55,MATCH(B13,案例清单!$A$6:$A$55,0)),"")</f>
        <v/>
      </c>
      <c r="D13" s="8" t="str">
        <f>IFERROR(INDEX(案例清单!$C$6:$C$55,MATCH(B13,案例清单!$A$6:$A$55,0)),"")</f>
        <v/>
      </c>
      <c r="E13" s="21"/>
      <c r="F13" s="21"/>
      <c r="G13" s="21"/>
      <c r="H13" s="21"/>
      <c r="I13" s="8" t="str">
        <f t="shared" si="0"/>
        <v/>
      </c>
      <c r="J13" s="21"/>
      <c r="K13" s="21"/>
    </row>
    <row r="14" spans="1:11">
      <c r="A14" s="21"/>
      <c r="B14" s="21"/>
      <c r="C14" s="8" t="str">
        <f>IFERROR(INDEX(案例清单!$P$6:$P$55,MATCH(B14,案例清单!$A$6:$A$55,0)),"")</f>
        <v/>
      </c>
      <c r="D14" s="8" t="str">
        <f>IFERROR(INDEX(案例清单!$C$6:$C$55,MATCH(B14,案例清单!$A$6:$A$55,0)),"")</f>
        <v/>
      </c>
      <c r="E14" s="21"/>
      <c r="F14" s="21"/>
      <c r="G14" s="21"/>
      <c r="H14" s="21"/>
      <c r="I14" s="8" t="str">
        <f t="shared" si="0"/>
        <v/>
      </c>
      <c r="J14" s="21"/>
      <c r="K14" s="21"/>
    </row>
    <row r="15" spans="1:11">
      <c r="A15" s="21"/>
      <c r="B15" s="21"/>
      <c r="C15" s="8" t="str">
        <f>IFERROR(INDEX(案例清单!$P$6:$P$55,MATCH(B15,案例清单!$A$6:$A$55,0)),"")</f>
        <v/>
      </c>
      <c r="D15" s="8" t="str">
        <f>IFERROR(INDEX(案例清单!$C$6:$C$55,MATCH(B15,案例清单!$A$6:$A$55,0)),"")</f>
        <v/>
      </c>
      <c r="E15" s="21"/>
      <c r="F15" s="21"/>
      <c r="G15" s="21"/>
      <c r="H15" s="21"/>
      <c r="I15" s="8" t="str">
        <f t="shared" si="0"/>
        <v/>
      </c>
      <c r="J15" s="21"/>
      <c r="K15" s="21"/>
    </row>
    <row r="16" spans="1:11">
      <c r="A16" s="21"/>
      <c r="B16" s="21"/>
      <c r="C16" s="8" t="str">
        <f>IFERROR(INDEX(案例清单!$P$6:$P$55,MATCH(B16,案例清单!$A$6:$A$55,0)),"")</f>
        <v/>
      </c>
      <c r="D16" s="8" t="str">
        <f>IFERROR(INDEX(案例清单!$C$6:$C$55,MATCH(B16,案例清单!$A$6:$A$55,0)),"")</f>
        <v/>
      </c>
      <c r="E16" s="21"/>
      <c r="F16" s="21"/>
      <c r="G16" s="21"/>
      <c r="H16" s="21"/>
      <c r="I16" s="8" t="str">
        <f t="shared" si="0"/>
        <v/>
      </c>
      <c r="J16" s="21"/>
      <c r="K16" s="21"/>
    </row>
    <row r="17" spans="1:11">
      <c r="A17" s="21"/>
      <c r="B17" s="21"/>
      <c r="C17" s="8" t="str">
        <f>IFERROR(INDEX(案例清单!$P$6:$P$55,MATCH(B17,案例清单!$A$6:$A$55,0)),"")</f>
        <v/>
      </c>
      <c r="D17" s="8" t="str">
        <f>IFERROR(INDEX(案例清单!$C$6:$C$55,MATCH(B17,案例清单!$A$6:$A$55,0)),"")</f>
        <v/>
      </c>
      <c r="E17" s="21"/>
      <c r="F17" s="21"/>
      <c r="G17" s="21"/>
      <c r="H17" s="21"/>
      <c r="I17" s="8" t="str">
        <f t="shared" si="0"/>
        <v/>
      </c>
      <c r="J17" s="21"/>
      <c r="K17" s="21"/>
    </row>
    <row r="18" spans="1:11">
      <c r="A18" s="21"/>
      <c r="B18" s="21"/>
      <c r="C18" s="8" t="str">
        <f>IFERROR(INDEX(案例清单!$P$6:$P$55,MATCH(B18,案例清单!$A$6:$A$55,0)),"")</f>
        <v/>
      </c>
      <c r="D18" s="8" t="str">
        <f>IFERROR(INDEX(案例清单!$C$6:$C$55,MATCH(B18,案例清单!$A$6:$A$55,0)),"")</f>
        <v/>
      </c>
      <c r="E18" s="21"/>
      <c r="F18" s="21"/>
      <c r="G18" s="21"/>
      <c r="H18" s="21"/>
      <c r="I18" s="8" t="str">
        <f t="shared" si="0"/>
        <v/>
      </c>
      <c r="J18" s="21"/>
      <c r="K18" s="21"/>
    </row>
    <row r="19" spans="1:11">
      <c r="A19" s="21"/>
      <c r="B19" s="21"/>
      <c r="C19" s="8" t="str">
        <f>IFERROR(INDEX(案例清单!$P$6:$P$55,MATCH(B19,案例清单!$A$6:$A$55,0)),"")</f>
        <v/>
      </c>
      <c r="D19" s="8" t="str">
        <f>IFERROR(INDEX(案例清单!$C$6:$C$55,MATCH(B19,案例清单!$A$6:$A$55,0)),"")</f>
        <v/>
      </c>
      <c r="E19" s="21"/>
      <c r="F19" s="21"/>
      <c r="G19" s="21"/>
      <c r="H19" s="21"/>
      <c r="I19" s="8" t="str">
        <f t="shared" si="0"/>
        <v/>
      </c>
      <c r="J19" s="21"/>
      <c r="K19" s="21"/>
    </row>
    <row r="20" spans="1:11">
      <c r="A20" s="21"/>
      <c r="B20" s="21"/>
      <c r="C20" s="8" t="str">
        <f>IFERROR(INDEX(案例清单!$P$6:$P$55,MATCH(B20,案例清单!$A$6:$A$55,0)),"")</f>
        <v/>
      </c>
      <c r="D20" s="8" t="str">
        <f>IFERROR(INDEX(案例清单!$C$6:$C$55,MATCH(B20,案例清单!$A$6:$A$55,0)),"")</f>
        <v/>
      </c>
      <c r="E20" s="21"/>
      <c r="F20" s="21"/>
      <c r="G20" s="21"/>
      <c r="H20" s="21"/>
      <c r="I20" s="8" t="str">
        <f t="shared" si="0"/>
        <v/>
      </c>
      <c r="J20" s="21"/>
      <c r="K20" s="21"/>
    </row>
    <row r="21" spans="1:11">
      <c r="A21" s="21"/>
      <c r="B21" s="21"/>
      <c r="C21" s="8" t="str">
        <f>IFERROR(INDEX(案例清单!$P$6:$P$55,MATCH(B21,案例清单!$A$6:$A$55,0)),"")</f>
        <v/>
      </c>
      <c r="D21" s="8" t="str">
        <f>IFERROR(INDEX(案例清单!$C$6:$C$55,MATCH(B21,案例清单!$A$6:$A$55,0)),"")</f>
        <v/>
      </c>
      <c r="E21" s="21"/>
      <c r="F21" s="21"/>
      <c r="G21" s="21"/>
      <c r="H21" s="21"/>
      <c r="I21" s="8" t="str">
        <f t="shared" si="0"/>
        <v/>
      </c>
      <c r="J21" s="21"/>
      <c r="K21" s="21"/>
    </row>
    <row r="22" spans="1:11">
      <c r="A22" s="21"/>
      <c r="B22" s="21"/>
      <c r="C22" s="8" t="str">
        <f>IFERROR(INDEX(案例清单!$P$6:$P$55,MATCH(B22,案例清单!$A$6:$A$55,0)),"")</f>
        <v/>
      </c>
      <c r="D22" s="8" t="str">
        <f>IFERROR(INDEX(案例清单!$C$6:$C$55,MATCH(B22,案例清单!$A$6:$A$55,0)),"")</f>
        <v/>
      </c>
      <c r="E22" s="21"/>
      <c r="F22" s="21"/>
      <c r="G22" s="21"/>
      <c r="H22" s="21"/>
      <c r="I22" s="8" t="str">
        <f t="shared" si="0"/>
        <v/>
      </c>
      <c r="J22" s="21"/>
      <c r="K22" s="21"/>
    </row>
    <row r="23" spans="1:11">
      <c r="A23" s="21"/>
      <c r="B23" s="21"/>
      <c r="C23" s="8" t="str">
        <f>IFERROR(INDEX(案例清单!$P$6:$P$55,MATCH(B23,案例清单!$A$6:$A$55,0)),"")</f>
        <v/>
      </c>
      <c r="D23" s="8" t="str">
        <f>IFERROR(INDEX(案例清单!$C$6:$C$55,MATCH(B23,案例清单!$A$6:$A$55,0)),"")</f>
        <v/>
      </c>
      <c r="E23" s="21"/>
      <c r="F23" s="21"/>
      <c r="G23" s="21"/>
      <c r="H23" s="21"/>
      <c r="I23" s="8" t="str">
        <f t="shared" si="0"/>
        <v/>
      </c>
      <c r="J23" s="21"/>
      <c r="K23" s="21"/>
    </row>
    <row r="24" spans="1:11">
      <c r="A24" s="21"/>
      <c r="B24" s="21"/>
      <c r="C24" s="8" t="str">
        <f>IFERROR(INDEX(案例清单!$P$6:$P$55,MATCH(B24,案例清单!$A$6:$A$55,0)),"")</f>
        <v/>
      </c>
      <c r="D24" s="8" t="str">
        <f>IFERROR(INDEX(案例清单!$C$6:$C$55,MATCH(B24,案例清单!$A$6:$A$55,0)),"")</f>
        <v/>
      </c>
      <c r="E24" s="21"/>
      <c r="F24" s="21"/>
      <c r="G24" s="21"/>
      <c r="H24" s="21"/>
      <c r="I24" s="8" t="str">
        <f t="shared" si="0"/>
        <v/>
      </c>
      <c r="J24" s="21"/>
      <c r="K24" s="21"/>
    </row>
    <row r="25" spans="1:11">
      <c r="A25" s="21"/>
      <c r="B25" s="21"/>
      <c r="C25" s="8" t="str">
        <f>IFERROR(INDEX(案例清单!$P$6:$P$55,MATCH(B25,案例清单!$A$6:$A$55,0)),"")</f>
        <v/>
      </c>
      <c r="D25" s="8" t="str">
        <f>IFERROR(INDEX(案例清单!$C$6:$C$55,MATCH(B25,案例清单!$A$6:$A$55,0)),"")</f>
        <v/>
      </c>
      <c r="E25" s="21"/>
      <c r="F25" s="21"/>
      <c r="G25" s="21"/>
      <c r="H25" s="21"/>
      <c r="I25" s="8" t="str">
        <f t="shared" si="0"/>
        <v/>
      </c>
      <c r="J25" s="21"/>
      <c r="K25" s="21"/>
    </row>
    <row r="26" spans="1:11">
      <c r="A26" s="21"/>
      <c r="B26" s="21"/>
      <c r="C26" s="8" t="str">
        <f>IFERROR(INDEX(案例清单!$P$6:$P$55,MATCH(B26,案例清单!$A$6:$A$55,0)),"")</f>
        <v/>
      </c>
      <c r="D26" s="8" t="str">
        <f>IFERROR(INDEX(案例清单!$C$6:$C$55,MATCH(B26,案例清单!$A$6:$A$55,0)),"")</f>
        <v/>
      </c>
      <c r="E26" s="21"/>
      <c r="F26" s="21"/>
      <c r="G26" s="21"/>
      <c r="H26" s="21"/>
      <c r="I26" s="8" t="str">
        <f t="shared" si="0"/>
        <v/>
      </c>
      <c r="J26" s="21"/>
      <c r="K26" s="21"/>
    </row>
    <row r="27" spans="1:11">
      <c r="A27" s="21"/>
      <c r="B27" s="21"/>
      <c r="C27" s="8" t="str">
        <f>IFERROR(INDEX(案例清单!$P$6:$P$55,MATCH(B27,案例清单!$A$6:$A$55,0)),"")</f>
        <v/>
      </c>
      <c r="D27" s="8" t="str">
        <f>IFERROR(INDEX(案例清单!$C$6:$C$55,MATCH(B27,案例清单!$A$6:$A$55,0)),"")</f>
        <v/>
      </c>
      <c r="E27" s="21"/>
      <c r="F27" s="21"/>
      <c r="G27" s="21"/>
      <c r="H27" s="21"/>
      <c r="I27" s="8" t="str">
        <f t="shared" si="0"/>
        <v/>
      </c>
      <c r="J27" s="21"/>
      <c r="K27" s="21"/>
    </row>
    <row r="28" spans="1:11">
      <c r="A28" s="21"/>
      <c r="B28" s="21"/>
      <c r="C28" s="8" t="str">
        <f>IFERROR(INDEX(案例清单!$P$6:$P$55,MATCH(B28,案例清单!$A$6:$A$55,0)),"")</f>
        <v/>
      </c>
      <c r="D28" s="8" t="str">
        <f>IFERROR(INDEX(案例清单!$C$6:$C$55,MATCH(B28,案例清单!$A$6:$A$55,0)),"")</f>
        <v/>
      </c>
      <c r="E28" s="21"/>
      <c r="F28" s="21"/>
      <c r="G28" s="21"/>
      <c r="H28" s="21"/>
      <c r="I28" s="8" t="str">
        <f t="shared" si="0"/>
        <v/>
      </c>
      <c r="J28" s="21"/>
      <c r="K28" s="21"/>
    </row>
    <row r="29" spans="1:11">
      <c r="A29" s="21"/>
      <c r="B29" s="21"/>
      <c r="C29" s="8" t="str">
        <f>IFERROR(INDEX(案例清单!$P$6:$P$55,MATCH(B29,案例清单!$A$6:$A$55,0)),"")</f>
        <v/>
      </c>
      <c r="D29" s="8" t="str">
        <f>IFERROR(INDEX(案例清单!$C$6:$C$55,MATCH(B29,案例清单!$A$6:$A$55,0)),"")</f>
        <v/>
      </c>
      <c r="E29" s="21"/>
      <c r="F29" s="21"/>
      <c r="G29" s="21"/>
      <c r="H29" s="21"/>
      <c r="I29" s="8" t="str">
        <f t="shared" si="0"/>
        <v/>
      </c>
      <c r="J29" s="21"/>
      <c r="K29" s="21"/>
    </row>
    <row r="30" spans="1:11">
      <c r="A30" s="21"/>
      <c r="B30" s="21"/>
      <c r="C30" s="8" t="str">
        <f>IFERROR(INDEX(案例清单!$P$6:$P$55,MATCH(B30,案例清单!$A$6:$A$55,0)),"")</f>
        <v/>
      </c>
      <c r="D30" s="8" t="str">
        <f>IFERROR(INDEX(案例清单!$C$6:$C$55,MATCH(B30,案例清单!$A$6:$A$55,0)),"")</f>
        <v/>
      </c>
      <c r="E30" s="21"/>
      <c r="F30" s="21"/>
      <c r="G30" s="21"/>
      <c r="H30" s="21"/>
      <c r="I30" s="8" t="str">
        <f t="shared" si="0"/>
        <v/>
      </c>
      <c r="J30" s="21"/>
      <c r="K30" s="21"/>
    </row>
    <row r="31" spans="1:11">
      <c r="A31" s="21"/>
      <c r="B31" s="21"/>
      <c r="C31" s="8" t="str">
        <f>IFERROR(INDEX(案例清单!$P$6:$P$55,MATCH(B31,案例清单!$A$6:$A$55,0)),"")</f>
        <v/>
      </c>
      <c r="D31" s="8" t="str">
        <f>IFERROR(INDEX(案例清单!$C$6:$C$55,MATCH(B31,案例清单!$A$6:$A$55,0)),"")</f>
        <v/>
      </c>
      <c r="E31" s="21"/>
      <c r="F31" s="21"/>
      <c r="G31" s="21"/>
      <c r="H31" s="21"/>
      <c r="I31" s="8" t="str">
        <f t="shared" si="0"/>
        <v/>
      </c>
      <c r="J31" s="21"/>
      <c r="K31" s="21"/>
    </row>
    <row r="32" spans="1:11">
      <c r="A32" s="21"/>
      <c r="B32" s="21"/>
      <c r="C32" s="8" t="str">
        <f>IFERROR(INDEX(案例清单!$P$6:$P$55,MATCH(B32,案例清单!$A$6:$A$55,0)),"")</f>
        <v/>
      </c>
      <c r="D32" s="8" t="str">
        <f>IFERROR(INDEX(案例清单!$C$6:$C$55,MATCH(B32,案例清单!$A$6:$A$55,0)),"")</f>
        <v/>
      </c>
      <c r="E32" s="21"/>
      <c r="F32" s="21"/>
      <c r="G32" s="21"/>
      <c r="H32" s="21"/>
      <c r="I32" s="8" t="str">
        <f t="shared" si="0"/>
        <v/>
      </c>
      <c r="J32" s="21"/>
      <c r="K32" s="21"/>
    </row>
    <row r="33" spans="1:11">
      <c r="A33" s="21"/>
      <c r="B33" s="21"/>
      <c r="C33" s="8" t="str">
        <f>IFERROR(INDEX(案例清单!$P$6:$P$55,MATCH(B33,案例清单!$A$6:$A$55,0)),"")</f>
        <v/>
      </c>
      <c r="D33" s="8" t="str">
        <f>IFERROR(INDEX(案例清单!$C$6:$C$55,MATCH(B33,案例清单!$A$6:$A$55,0)),"")</f>
        <v/>
      </c>
      <c r="E33" s="21"/>
      <c r="F33" s="21"/>
      <c r="G33" s="21"/>
      <c r="H33" s="21"/>
      <c r="I33" s="8" t="str">
        <f t="shared" si="0"/>
        <v/>
      </c>
      <c r="J33" s="21"/>
      <c r="K33" s="21"/>
    </row>
    <row r="34" spans="1:11">
      <c r="A34" s="21"/>
      <c r="B34" s="21"/>
      <c r="C34" s="8" t="str">
        <f>IFERROR(INDEX(案例清单!$P$6:$P$55,MATCH(B34,案例清单!$A$6:$A$55,0)),"")</f>
        <v/>
      </c>
      <c r="D34" s="8" t="str">
        <f>IFERROR(INDEX(案例清单!$C$6:$C$55,MATCH(B34,案例清单!$A$6:$A$55,0)),"")</f>
        <v/>
      </c>
      <c r="E34" s="21"/>
      <c r="F34" s="21"/>
      <c r="G34" s="21"/>
      <c r="H34" s="21"/>
      <c r="I34" s="8" t="str">
        <f t="shared" si="0"/>
        <v/>
      </c>
      <c r="J34" s="21"/>
      <c r="K34" s="21"/>
    </row>
    <row r="35" spans="1:11">
      <c r="A35" s="21"/>
      <c r="B35" s="21"/>
      <c r="C35" s="8" t="str">
        <f>IFERROR(INDEX(案例清单!$P$6:$P$55,MATCH(B35,案例清单!$A$6:$A$55,0)),"")</f>
        <v/>
      </c>
      <c r="D35" s="8" t="str">
        <f>IFERROR(INDEX(案例清单!$C$6:$C$55,MATCH(B35,案例清单!$A$6:$A$55,0)),"")</f>
        <v/>
      </c>
      <c r="E35" s="21"/>
      <c r="F35" s="21"/>
      <c r="G35" s="21"/>
      <c r="H35" s="21"/>
      <c r="I35" s="8" t="str">
        <f t="shared" si="0"/>
        <v/>
      </c>
      <c r="J35" s="21"/>
      <c r="K35" s="21"/>
    </row>
    <row r="36" spans="1:11">
      <c r="A36" s="21"/>
      <c r="B36" s="21"/>
      <c r="C36" s="8" t="str">
        <f>IFERROR(INDEX(案例清单!$P$6:$P$55,MATCH(B36,案例清单!$A$6:$A$55,0)),"")</f>
        <v/>
      </c>
      <c r="D36" s="8" t="str">
        <f>IFERROR(INDEX(案例清单!$C$6:$C$55,MATCH(B36,案例清单!$A$6:$A$55,0)),"")</f>
        <v/>
      </c>
      <c r="E36" s="21"/>
      <c r="F36" s="21"/>
      <c r="G36" s="21"/>
      <c r="H36" s="21"/>
      <c r="I36" s="8" t="str">
        <f t="shared" si="0"/>
        <v/>
      </c>
      <c r="J36" s="21"/>
      <c r="K36" s="21"/>
    </row>
    <row r="37" spans="1:11">
      <c r="A37" s="21"/>
      <c r="B37" s="21"/>
      <c r="C37" s="8" t="str">
        <f>IFERROR(INDEX(案例清单!$P$6:$P$55,MATCH(B37,案例清单!$A$6:$A$55,0)),"")</f>
        <v/>
      </c>
      <c r="D37" s="8" t="str">
        <f>IFERROR(INDEX(案例清单!$C$6:$C$55,MATCH(B37,案例清单!$A$6:$A$55,0)),"")</f>
        <v/>
      </c>
      <c r="E37" s="21"/>
      <c r="F37" s="21"/>
      <c r="G37" s="21"/>
      <c r="H37" s="21"/>
      <c r="I37" s="8" t="str">
        <f t="shared" si="0"/>
        <v/>
      </c>
      <c r="J37" s="21"/>
      <c r="K37" s="21"/>
    </row>
    <row r="38" spans="1:11">
      <c r="A38" s="21"/>
      <c r="B38" s="21"/>
      <c r="C38" s="8" t="str">
        <f>IFERROR(INDEX(案例清单!$P$6:$P$55,MATCH(B38,案例清单!$A$6:$A$55,0)),"")</f>
        <v/>
      </c>
      <c r="D38" s="8" t="str">
        <f>IFERROR(INDEX(案例清单!$C$6:$C$55,MATCH(B38,案例清单!$A$6:$A$55,0)),"")</f>
        <v/>
      </c>
      <c r="E38" s="21"/>
      <c r="F38" s="21"/>
      <c r="G38" s="21"/>
      <c r="H38" s="21"/>
      <c r="I38" s="8" t="str">
        <f t="shared" ref="I38:I55" si="1">IF(OR(A38="",B38="",E38=""),"",IF(AND(C38="Yes",E38="Yes",UPPER(TRIM(D38))=UPPER(TRIM(F38))),"Correct",IF(AND(C38="No",E38="No"),"Correct",IF(AND(C38="No",E38="Yes"),"False Accept",IF(AND(C38="Yes",E38="No"),"False Reject","Wrong Model")))))</f>
        <v/>
      </c>
      <c r="J38" s="21"/>
      <c r="K38" s="21"/>
    </row>
    <row r="39" spans="1:11">
      <c r="A39" s="21"/>
      <c r="B39" s="21"/>
      <c r="C39" s="8" t="str">
        <f>IFERROR(INDEX(案例清单!$P$6:$P$55,MATCH(B39,案例清单!$A$6:$A$55,0)),"")</f>
        <v/>
      </c>
      <c r="D39" s="8" t="str">
        <f>IFERROR(INDEX(案例清单!$C$6:$C$55,MATCH(B39,案例清单!$A$6:$A$55,0)),"")</f>
        <v/>
      </c>
      <c r="E39" s="21"/>
      <c r="F39" s="21"/>
      <c r="G39" s="21"/>
      <c r="H39" s="21"/>
      <c r="I39" s="8" t="str">
        <f t="shared" si="1"/>
        <v/>
      </c>
      <c r="J39" s="21"/>
      <c r="K39" s="21"/>
    </row>
    <row r="40" spans="1:11">
      <c r="A40" s="21"/>
      <c r="B40" s="21"/>
      <c r="C40" s="8" t="str">
        <f>IFERROR(INDEX(案例清单!$P$6:$P$55,MATCH(B40,案例清单!$A$6:$A$55,0)),"")</f>
        <v/>
      </c>
      <c r="D40" s="8" t="str">
        <f>IFERROR(INDEX(案例清单!$C$6:$C$55,MATCH(B40,案例清单!$A$6:$A$55,0)),"")</f>
        <v/>
      </c>
      <c r="E40" s="21"/>
      <c r="F40" s="21"/>
      <c r="G40" s="21"/>
      <c r="H40" s="21"/>
      <c r="I40" s="8" t="str">
        <f t="shared" si="1"/>
        <v/>
      </c>
      <c r="J40" s="21"/>
      <c r="K40" s="21"/>
    </row>
    <row r="41" spans="1:11">
      <c r="A41" s="21"/>
      <c r="B41" s="21"/>
      <c r="C41" s="8" t="str">
        <f>IFERROR(INDEX(案例清单!$P$6:$P$55,MATCH(B41,案例清单!$A$6:$A$55,0)),"")</f>
        <v/>
      </c>
      <c r="D41" s="8" t="str">
        <f>IFERROR(INDEX(案例清单!$C$6:$C$55,MATCH(B41,案例清单!$A$6:$A$55,0)),"")</f>
        <v/>
      </c>
      <c r="E41" s="21"/>
      <c r="F41" s="21"/>
      <c r="G41" s="21"/>
      <c r="H41" s="21"/>
      <c r="I41" s="8" t="str">
        <f t="shared" si="1"/>
        <v/>
      </c>
      <c r="J41" s="21"/>
      <c r="K41" s="21"/>
    </row>
    <row r="42" spans="1:11">
      <c r="A42" s="21"/>
      <c r="B42" s="21"/>
      <c r="C42" s="8" t="str">
        <f>IFERROR(INDEX(案例清单!$P$6:$P$55,MATCH(B42,案例清单!$A$6:$A$55,0)),"")</f>
        <v/>
      </c>
      <c r="D42" s="8" t="str">
        <f>IFERROR(INDEX(案例清单!$C$6:$C$55,MATCH(B42,案例清单!$A$6:$A$55,0)),"")</f>
        <v/>
      </c>
      <c r="E42" s="21"/>
      <c r="F42" s="21"/>
      <c r="G42" s="21"/>
      <c r="H42" s="21"/>
      <c r="I42" s="8" t="str">
        <f t="shared" si="1"/>
        <v/>
      </c>
      <c r="J42" s="21"/>
      <c r="K42" s="21"/>
    </row>
    <row r="43" spans="1:11">
      <c r="A43" s="21"/>
      <c r="B43" s="21"/>
      <c r="C43" s="8" t="str">
        <f>IFERROR(INDEX(案例清单!$P$6:$P$55,MATCH(B43,案例清单!$A$6:$A$55,0)),"")</f>
        <v/>
      </c>
      <c r="D43" s="8" t="str">
        <f>IFERROR(INDEX(案例清单!$C$6:$C$55,MATCH(B43,案例清单!$A$6:$A$55,0)),"")</f>
        <v/>
      </c>
      <c r="E43" s="21"/>
      <c r="F43" s="21"/>
      <c r="G43" s="21"/>
      <c r="H43" s="21"/>
      <c r="I43" s="8" t="str">
        <f t="shared" si="1"/>
        <v/>
      </c>
      <c r="J43" s="21"/>
      <c r="K43" s="21"/>
    </row>
    <row r="44" spans="1:11">
      <c r="A44" s="21"/>
      <c r="B44" s="21"/>
      <c r="C44" s="8" t="str">
        <f>IFERROR(INDEX(案例清单!$P$6:$P$55,MATCH(B44,案例清单!$A$6:$A$55,0)),"")</f>
        <v/>
      </c>
      <c r="D44" s="8" t="str">
        <f>IFERROR(INDEX(案例清单!$C$6:$C$55,MATCH(B44,案例清单!$A$6:$A$55,0)),"")</f>
        <v/>
      </c>
      <c r="E44" s="21"/>
      <c r="F44" s="21"/>
      <c r="G44" s="21"/>
      <c r="H44" s="21"/>
      <c r="I44" s="8" t="str">
        <f t="shared" si="1"/>
        <v/>
      </c>
      <c r="J44" s="21"/>
      <c r="K44" s="21"/>
    </row>
    <row r="45" spans="1:11">
      <c r="A45" s="21"/>
      <c r="B45" s="21"/>
      <c r="C45" s="8" t="str">
        <f>IFERROR(INDEX(案例清单!$P$6:$P$55,MATCH(B45,案例清单!$A$6:$A$55,0)),"")</f>
        <v/>
      </c>
      <c r="D45" s="8" t="str">
        <f>IFERROR(INDEX(案例清单!$C$6:$C$55,MATCH(B45,案例清单!$A$6:$A$55,0)),"")</f>
        <v/>
      </c>
      <c r="E45" s="21"/>
      <c r="F45" s="21"/>
      <c r="G45" s="21"/>
      <c r="H45" s="21"/>
      <c r="I45" s="8" t="str">
        <f t="shared" si="1"/>
        <v/>
      </c>
      <c r="J45" s="21"/>
      <c r="K45" s="21"/>
    </row>
    <row r="46" spans="1:11">
      <c r="A46" s="21"/>
      <c r="B46" s="21"/>
      <c r="C46" s="8" t="str">
        <f>IFERROR(INDEX(案例清单!$P$6:$P$55,MATCH(B46,案例清单!$A$6:$A$55,0)),"")</f>
        <v/>
      </c>
      <c r="D46" s="8" t="str">
        <f>IFERROR(INDEX(案例清单!$C$6:$C$55,MATCH(B46,案例清单!$A$6:$A$55,0)),"")</f>
        <v/>
      </c>
      <c r="E46" s="21"/>
      <c r="F46" s="21"/>
      <c r="G46" s="21"/>
      <c r="H46" s="21"/>
      <c r="I46" s="8" t="str">
        <f t="shared" si="1"/>
        <v/>
      </c>
      <c r="J46" s="21"/>
      <c r="K46" s="21"/>
    </row>
    <row r="47" spans="1:11">
      <c r="A47" s="21"/>
      <c r="B47" s="21"/>
      <c r="C47" s="8" t="str">
        <f>IFERROR(INDEX(案例清单!$P$6:$P$55,MATCH(B47,案例清单!$A$6:$A$55,0)),"")</f>
        <v/>
      </c>
      <c r="D47" s="8" t="str">
        <f>IFERROR(INDEX(案例清单!$C$6:$C$55,MATCH(B47,案例清单!$A$6:$A$55,0)),"")</f>
        <v/>
      </c>
      <c r="E47" s="21"/>
      <c r="F47" s="21"/>
      <c r="G47" s="21"/>
      <c r="H47" s="21"/>
      <c r="I47" s="8" t="str">
        <f t="shared" si="1"/>
        <v/>
      </c>
      <c r="J47" s="21"/>
      <c r="K47" s="21"/>
    </row>
    <row r="48" spans="1:11">
      <c r="A48" s="21"/>
      <c r="B48" s="21"/>
      <c r="C48" s="8" t="str">
        <f>IFERROR(INDEX(案例清单!$P$6:$P$55,MATCH(B48,案例清单!$A$6:$A$55,0)),"")</f>
        <v/>
      </c>
      <c r="D48" s="8" t="str">
        <f>IFERROR(INDEX(案例清单!$C$6:$C$55,MATCH(B48,案例清单!$A$6:$A$55,0)),"")</f>
        <v/>
      </c>
      <c r="E48" s="21"/>
      <c r="F48" s="21"/>
      <c r="G48" s="21"/>
      <c r="H48" s="21"/>
      <c r="I48" s="8" t="str">
        <f t="shared" si="1"/>
        <v/>
      </c>
      <c r="J48" s="21"/>
      <c r="K48" s="21"/>
    </row>
    <row r="49" spans="1:11">
      <c r="A49" s="21"/>
      <c r="B49" s="21"/>
      <c r="C49" s="8" t="str">
        <f>IFERROR(INDEX(案例清单!$P$6:$P$55,MATCH(B49,案例清单!$A$6:$A$55,0)),"")</f>
        <v/>
      </c>
      <c r="D49" s="8" t="str">
        <f>IFERROR(INDEX(案例清单!$C$6:$C$55,MATCH(B49,案例清单!$A$6:$A$55,0)),"")</f>
        <v/>
      </c>
      <c r="E49" s="21"/>
      <c r="F49" s="21"/>
      <c r="G49" s="21"/>
      <c r="H49" s="21"/>
      <c r="I49" s="8" t="str">
        <f t="shared" si="1"/>
        <v/>
      </c>
      <c r="J49" s="21"/>
      <c r="K49" s="21"/>
    </row>
    <row r="50" spans="1:11">
      <c r="A50" s="21"/>
      <c r="B50" s="21"/>
      <c r="C50" s="8" t="str">
        <f>IFERROR(INDEX(案例清单!$P$6:$P$55,MATCH(B50,案例清单!$A$6:$A$55,0)),"")</f>
        <v/>
      </c>
      <c r="D50" s="8" t="str">
        <f>IFERROR(INDEX(案例清单!$C$6:$C$55,MATCH(B50,案例清单!$A$6:$A$55,0)),"")</f>
        <v/>
      </c>
      <c r="E50" s="21"/>
      <c r="F50" s="21"/>
      <c r="G50" s="21"/>
      <c r="H50" s="21"/>
      <c r="I50" s="8" t="str">
        <f t="shared" si="1"/>
        <v/>
      </c>
      <c r="J50" s="21"/>
      <c r="K50" s="21"/>
    </row>
    <row r="51" spans="1:11">
      <c r="A51" s="21"/>
      <c r="B51" s="21"/>
      <c r="C51" s="8" t="str">
        <f>IFERROR(INDEX(案例清单!$P$6:$P$55,MATCH(B51,案例清单!$A$6:$A$55,0)),"")</f>
        <v/>
      </c>
      <c r="D51" s="8" t="str">
        <f>IFERROR(INDEX(案例清单!$C$6:$C$55,MATCH(B51,案例清单!$A$6:$A$55,0)),"")</f>
        <v/>
      </c>
      <c r="E51" s="21"/>
      <c r="F51" s="21"/>
      <c r="G51" s="21"/>
      <c r="H51" s="21"/>
      <c r="I51" s="8" t="str">
        <f t="shared" si="1"/>
        <v/>
      </c>
      <c r="J51" s="21"/>
      <c r="K51" s="21"/>
    </row>
    <row r="52" spans="1:11">
      <c r="A52" s="21"/>
      <c r="B52" s="21"/>
      <c r="C52" s="8" t="str">
        <f>IFERROR(INDEX(案例清单!$P$6:$P$55,MATCH(B52,案例清单!$A$6:$A$55,0)),"")</f>
        <v/>
      </c>
      <c r="D52" s="8" t="str">
        <f>IFERROR(INDEX(案例清单!$C$6:$C$55,MATCH(B52,案例清单!$A$6:$A$55,0)),"")</f>
        <v/>
      </c>
      <c r="E52" s="21"/>
      <c r="F52" s="21"/>
      <c r="G52" s="21"/>
      <c r="H52" s="21"/>
      <c r="I52" s="8" t="str">
        <f t="shared" si="1"/>
        <v/>
      </c>
      <c r="J52" s="21"/>
      <c r="K52" s="21"/>
    </row>
    <row r="53" spans="1:11">
      <c r="A53" s="21"/>
      <c r="B53" s="21"/>
      <c r="C53" s="8" t="str">
        <f>IFERROR(INDEX(案例清单!$P$6:$P$55,MATCH(B53,案例清单!$A$6:$A$55,0)),"")</f>
        <v/>
      </c>
      <c r="D53" s="8" t="str">
        <f>IFERROR(INDEX(案例清单!$C$6:$C$55,MATCH(B53,案例清单!$A$6:$A$55,0)),"")</f>
        <v/>
      </c>
      <c r="E53" s="21"/>
      <c r="F53" s="21"/>
      <c r="G53" s="21"/>
      <c r="H53" s="21"/>
      <c r="I53" s="8" t="str">
        <f t="shared" si="1"/>
        <v/>
      </c>
      <c r="J53" s="21"/>
      <c r="K53" s="21"/>
    </row>
    <row r="54" spans="1:11">
      <c r="A54" s="21"/>
      <c r="B54" s="21"/>
      <c r="C54" s="8" t="str">
        <f>IFERROR(INDEX(案例清单!$P$6:$P$55,MATCH(B54,案例清单!$A$6:$A$55,0)),"")</f>
        <v/>
      </c>
      <c r="D54" s="8" t="str">
        <f>IFERROR(INDEX(案例清单!$C$6:$C$55,MATCH(B54,案例清单!$A$6:$A$55,0)),"")</f>
        <v/>
      </c>
      <c r="E54" s="21"/>
      <c r="F54" s="21"/>
      <c r="G54" s="21"/>
      <c r="H54" s="21"/>
      <c r="I54" s="8" t="str">
        <f t="shared" si="1"/>
        <v/>
      </c>
      <c r="J54" s="21"/>
      <c r="K54" s="21"/>
    </row>
    <row r="55" spans="1:11">
      <c r="A55" s="21"/>
      <c r="B55" s="21"/>
      <c r="C55" s="8" t="str">
        <f>IFERROR(INDEX(案例清单!$P$6:$P$55,MATCH(B55,案例清单!$A$6:$A$55,0)),"")</f>
        <v/>
      </c>
      <c r="D55" s="8" t="str">
        <f>IFERROR(INDEX(案例清单!$C$6:$C$55,MATCH(B55,案例清单!$A$6:$A$55,0)),"")</f>
        <v/>
      </c>
      <c r="E55" s="21"/>
      <c r="F55" s="21"/>
      <c r="G55" s="21"/>
      <c r="H55" s="21"/>
      <c r="I55" s="8" t="str">
        <f t="shared" si="1"/>
        <v/>
      </c>
      <c r="J55" s="21"/>
      <c r="K55" s="21"/>
    </row>
  </sheetData>
  <mergeCells count="2">
    <mergeCell ref="A1:K1"/>
    <mergeCell ref="A2:K2"/>
  </mergeCells>
  <phoneticPr fontId="13" type="noConversion"/>
  <conditionalFormatting sqref="I6:I55">
    <cfRule type="containsText" dxfId="3" priority="1" operator="containsText" text="Correct"/>
    <cfRule type="notContainsBlanks" dxfId="2" priority="2"/>
  </conditionalFormatting>
  <dataValidations count="2">
    <dataValidation type="list" sqref="E6:E55" xr:uid="{00000000-0002-0000-0500-000000000000}">
      <formula1>"Yes,No"</formula1>
    </dataValidation>
    <dataValidation type="whole" sqref="G6:G55" xr:uid="{00000000-0002-0000-0500-000001000000}">
      <formula1>1</formula1>
      <formula2>1000</formula2>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05"/>
  <sheetViews>
    <sheetView showGridLines="0" workbookViewId="0"/>
  </sheetViews>
  <sheetFormatPr defaultRowHeight="14"/>
  <cols>
    <col min="1" max="1" width="22" customWidth="1"/>
    <col min="2" max="2" width="16" customWidth="1"/>
    <col min="3" max="3" width="18" customWidth="1"/>
    <col min="4" max="5" width="30" customWidth="1"/>
    <col min="6" max="6" width="20" customWidth="1"/>
    <col min="7" max="7" width="30" customWidth="1"/>
    <col min="8" max="8" width="20" customWidth="1"/>
    <col min="9" max="9" width="18" customWidth="1"/>
    <col min="10" max="10" width="14" customWidth="1"/>
    <col min="11" max="11" width="50" customWidth="1"/>
    <col min="12" max="13" width="18" customWidth="1"/>
    <col min="14" max="14" width="20" customWidth="1"/>
    <col min="15" max="15" width="36" customWidth="1"/>
  </cols>
  <sheetData>
    <row r="1" spans="1:15" ht="34" customHeight="1">
      <c r="A1" s="41" t="s">
        <v>1495</v>
      </c>
      <c r="B1" s="41"/>
      <c r="C1" s="41"/>
      <c r="D1" s="41"/>
      <c r="E1" s="41"/>
      <c r="F1" s="41"/>
      <c r="G1" s="41"/>
      <c r="H1" s="41"/>
      <c r="I1" s="41"/>
      <c r="J1" s="41"/>
      <c r="K1" s="41"/>
      <c r="L1" s="41"/>
      <c r="M1" s="41"/>
      <c r="N1" s="41"/>
      <c r="O1" s="41"/>
    </row>
    <row r="2" spans="1:15" ht="28" customHeight="1">
      <c r="A2" s="42" t="s">
        <v>1496</v>
      </c>
      <c r="B2" s="42"/>
      <c r="C2" s="42"/>
      <c r="D2" s="42"/>
      <c r="E2" s="42"/>
      <c r="F2" s="42"/>
      <c r="G2" s="42"/>
      <c r="H2" s="42"/>
      <c r="I2" s="42"/>
      <c r="J2" s="42"/>
      <c r="K2" s="42"/>
      <c r="L2" s="42"/>
      <c r="M2" s="42"/>
      <c r="N2" s="42"/>
      <c r="O2" s="42"/>
    </row>
    <row r="3" spans="1:15" ht="14.5">
      <c r="A3" s="1"/>
      <c r="B3" s="1"/>
      <c r="C3" s="1"/>
      <c r="D3" s="1"/>
      <c r="E3" s="1"/>
      <c r="F3" s="1"/>
      <c r="G3" s="1"/>
      <c r="H3" s="1"/>
      <c r="I3" s="1"/>
      <c r="J3" s="1"/>
      <c r="K3" s="1"/>
      <c r="L3" s="1"/>
      <c r="M3" s="1"/>
      <c r="N3" s="1"/>
      <c r="O3" s="1"/>
    </row>
    <row r="4" spans="1:15" ht="14.5">
      <c r="A4" s="1"/>
      <c r="B4" s="1"/>
      <c r="C4" s="1"/>
      <c r="D4" s="1"/>
      <c r="E4" s="1"/>
      <c r="F4" s="1"/>
      <c r="G4" s="1"/>
      <c r="H4" s="1"/>
      <c r="I4" s="1"/>
      <c r="J4" s="1"/>
      <c r="K4" s="1"/>
      <c r="L4" s="1"/>
      <c r="M4" s="1"/>
      <c r="N4" s="1"/>
      <c r="O4" s="1"/>
    </row>
    <row r="5" spans="1:15" ht="32" customHeight="1">
      <c r="A5" s="3" t="s">
        <v>1488</v>
      </c>
      <c r="B5" s="4" t="s">
        <v>182</v>
      </c>
      <c r="C5" s="4" t="s">
        <v>345</v>
      </c>
      <c r="D5" s="4" t="s">
        <v>346</v>
      </c>
      <c r="E5" s="4" t="s">
        <v>1497</v>
      </c>
      <c r="F5" s="4" t="s">
        <v>1498</v>
      </c>
      <c r="G5" s="4" t="s">
        <v>1499</v>
      </c>
      <c r="H5" s="4" t="s">
        <v>1500</v>
      </c>
      <c r="I5" s="4" t="s">
        <v>1501</v>
      </c>
      <c r="J5" s="4" t="s">
        <v>1492</v>
      </c>
      <c r="K5" s="4" t="s">
        <v>353</v>
      </c>
      <c r="L5" s="4" t="s">
        <v>1502</v>
      </c>
      <c r="M5" s="4" t="s">
        <v>1503</v>
      </c>
      <c r="N5" s="4" t="s">
        <v>1504</v>
      </c>
      <c r="O5" s="5" t="s">
        <v>201</v>
      </c>
    </row>
    <row r="6" spans="1:15">
      <c r="A6" s="18"/>
      <c r="B6" s="18"/>
      <c r="C6" s="18"/>
      <c r="D6" s="7" t="str">
        <f>IF(C6="","",IFERROR(INDEX(标准答案!$C$6:$C$105,MATCH(C6,标准答案!$A$6:$A$105,0)),""))</f>
        <v/>
      </c>
      <c r="E6" s="7" t="str">
        <f>IF(C6="","",IFERROR(INDEX(标准答案!$E$6:$E$105,MATCH(C6,标准答案!$A$6:$A$105,0)),""))</f>
        <v/>
      </c>
      <c r="F6" s="7" t="str">
        <f>IF(C6="","",IFERROR(INDEX(标准答案!$D$6:$D$105,MATCH(C6,标准答案!$A$6:$A$105,0)),""))</f>
        <v/>
      </c>
      <c r="G6" s="18"/>
      <c r="H6" s="18"/>
      <c r="I6" s="25"/>
      <c r="J6" s="18"/>
      <c r="K6" s="18"/>
      <c r="L6" s="18"/>
      <c r="M6" s="7" t="str">
        <f t="shared" ref="M6:M37" si="0">IF(OR(A6="",B6=""),"",IF(AND(C6="",H6&lt;&gt;""),"FP",IF(AND(C6&lt;&gt;"",H6=""),"FN",IF(F6&lt;&gt;H6,"VALUE_ERROR",IF(F6&lt;&gt;"Published","TP",IF(UPPER(TRIM(E6))=UPPER(TRIM(G6)),"TP","VALUE_ERROR"))))))</f>
        <v/>
      </c>
      <c r="N6" s="18"/>
      <c r="O6" s="18"/>
    </row>
    <row r="7" spans="1:15">
      <c r="A7" s="21"/>
      <c r="B7" s="21"/>
      <c r="C7" s="21"/>
      <c r="D7" s="8" t="str">
        <f>IF(C7="","",IFERROR(INDEX(标准答案!$C$6:$C$105,MATCH(C7,标准答案!$A$6:$A$105,0)),""))</f>
        <v/>
      </c>
      <c r="E7" s="8" t="str">
        <f>IF(C7="","",IFERROR(INDEX(标准答案!$E$6:$E$105,MATCH(C7,标准答案!$A$6:$A$105,0)),""))</f>
        <v/>
      </c>
      <c r="F7" s="8" t="str">
        <f>IF(C7="","",IFERROR(INDEX(标准答案!$D$6:$D$105,MATCH(C7,标准答案!$A$6:$A$105,0)),""))</f>
        <v/>
      </c>
      <c r="G7" s="21"/>
      <c r="H7" s="21"/>
      <c r="I7" s="26"/>
      <c r="J7" s="21"/>
      <c r="K7" s="21"/>
      <c r="L7" s="21"/>
      <c r="M7" s="8" t="str">
        <f t="shared" si="0"/>
        <v/>
      </c>
      <c r="N7" s="21"/>
      <c r="O7" s="21"/>
    </row>
    <row r="8" spans="1:15">
      <c r="A8" s="21"/>
      <c r="B8" s="21"/>
      <c r="C8" s="21"/>
      <c r="D8" s="8" t="str">
        <f>IF(C8="","",IFERROR(INDEX(标准答案!$C$6:$C$105,MATCH(C8,标准答案!$A$6:$A$105,0)),""))</f>
        <v/>
      </c>
      <c r="E8" s="8" t="str">
        <f>IF(C8="","",IFERROR(INDEX(标准答案!$E$6:$E$105,MATCH(C8,标准答案!$A$6:$A$105,0)),""))</f>
        <v/>
      </c>
      <c r="F8" s="8" t="str">
        <f>IF(C8="","",IFERROR(INDEX(标准答案!$D$6:$D$105,MATCH(C8,标准答案!$A$6:$A$105,0)),""))</f>
        <v/>
      </c>
      <c r="G8" s="21"/>
      <c r="H8" s="21"/>
      <c r="I8" s="26"/>
      <c r="J8" s="21"/>
      <c r="K8" s="21"/>
      <c r="L8" s="21"/>
      <c r="M8" s="8" t="str">
        <f t="shared" si="0"/>
        <v/>
      </c>
      <c r="N8" s="21"/>
      <c r="O8" s="21"/>
    </row>
    <row r="9" spans="1:15">
      <c r="A9" s="21"/>
      <c r="B9" s="21"/>
      <c r="C9" s="21"/>
      <c r="D9" s="8" t="str">
        <f>IF(C9="","",IFERROR(INDEX(标准答案!$C$6:$C$105,MATCH(C9,标准答案!$A$6:$A$105,0)),""))</f>
        <v/>
      </c>
      <c r="E9" s="8" t="str">
        <f>IF(C9="","",IFERROR(INDEX(标准答案!$E$6:$E$105,MATCH(C9,标准答案!$A$6:$A$105,0)),""))</f>
        <v/>
      </c>
      <c r="F9" s="8" t="str">
        <f>IF(C9="","",IFERROR(INDEX(标准答案!$D$6:$D$105,MATCH(C9,标准答案!$A$6:$A$105,0)),""))</f>
        <v/>
      </c>
      <c r="G9" s="21"/>
      <c r="H9" s="21"/>
      <c r="I9" s="26"/>
      <c r="J9" s="21"/>
      <c r="K9" s="21"/>
      <c r="L9" s="21"/>
      <c r="M9" s="8" t="str">
        <f t="shared" si="0"/>
        <v/>
      </c>
      <c r="N9" s="21"/>
      <c r="O9" s="21"/>
    </row>
    <row r="10" spans="1:15">
      <c r="A10" s="21"/>
      <c r="B10" s="21"/>
      <c r="C10" s="21"/>
      <c r="D10" s="8" t="str">
        <f>IF(C10="","",IFERROR(INDEX(标准答案!$C$6:$C$105,MATCH(C10,标准答案!$A$6:$A$105,0)),""))</f>
        <v/>
      </c>
      <c r="E10" s="8" t="str">
        <f>IF(C10="","",IFERROR(INDEX(标准答案!$E$6:$E$105,MATCH(C10,标准答案!$A$6:$A$105,0)),""))</f>
        <v/>
      </c>
      <c r="F10" s="8" t="str">
        <f>IF(C10="","",IFERROR(INDEX(标准答案!$D$6:$D$105,MATCH(C10,标准答案!$A$6:$A$105,0)),""))</f>
        <v/>
      </c>
      <c r="G10" s="21"/>
      <c r="H10" s="21"/>
      <c r="I10" s="26"/>
      <c r="J10" s="21"/>
      <c r="K10" s="21"/>
      <c r="L10" s="21"/>
      <c r="M10" s="8" t="str">
        <f t="shared" si="0"/>
        <v/>
      </c>
      <c r="N10" s="21"/>
      <c r="O10" s="21"/>
    </row>
    <row r="11" spans="1:15">
      <c r="A11" s="21"/>
      <c r="B11" s="21"/>
      <c r="C11" s="21"/>
      <c r="D11" s="8" t="str">
        <f>IF(C11="","",IFERROR(INDEX(标准答案!$C$6:$C$105,MATCH(C11,标准答案!$A$6:$A$105,0)),""))</f>
        <v/>
      </c>
      <c r="E11" s="8" t="str">
        <f>IF(C11="","",IFERROR(INDEX(标准答案!$E$6:$E$105,MATCH(C11,标准答案!$A$6:$A$105,0)),""))</f>
        <v/>
      </c>
      <c r="F11" s="8" t="str">
        <f>IF(C11="","",IFERROR(INDEX(标准答案!$D$6:$D$105,MATCH(C11,标准答案!$A$6:$A$105,0)),""))</f>
        <v/>
      </c>
      <c r="G11" s="21"/>
      <c r="H11" s="21"/>
      <c r="I11" s="26"/>
      <c r="J11" s="21"/>
      <c r="K11" s="21"/>
      <c r="L11" s="21"/>
      <c r="M11" s="8" t="str">
        <f t="shared" si="0"/>
        <v/>
      </c>
      <c r="N11" s="21"/>
      <c r="O11" s="21"/>
    </row>
    <row r="12" spans="1:15">
      <c r="A12" s="21"/>
      <c r="B12" s="21"/>
      <c r="C12" s="21"/>
      <c r="D12" s="8" t="str">
        <f>IF(C12="","",IFERROR(INDEX(标准答案!$C$6:$C$105,MATCH(C12,标准答案!$A$6:$A$105,0)),""))</f>
        <v/>
      </c>
      <c r="E12" s="8" t="str">
        <f>IF(C12="","",IFERROR(INDEX(标准答案!$E$6:$E$105,MATCH(C12,标准答案!$A$6:$A$105,0)),""))</f>
        <v/>
      </c>
      <c r="F12" s="8" t="str">
        <f>IF(C12="","",IFERROR(INDEX(标准答案!$D$6:$D$105,MATCH(C12,标准答案!$A$6:$A$105,0)),""))</f>
        <v/>
      </c>
      <c r="G12" s="21"/>
      <c r="H12" s="21"/>
      <c r="I12" s="26"/>
      <c r="J12" s="21"/>
      <c r="K12" s="21"/>
      <c r="L12" s="21"/>
      <c r="M12" s="8" t="str">
        <f t="shared" si="0"/>
        <v/>
      </c>
      <c r="N12" s="21"/>
      <c r="O12" s="21"/>
    </row>
    <row r="13" spans="1:15">
      <c r="A13" s="21"/>
      <c r="B13" s="21"/>
      <c r="C13" s="21"/>
      <c r="D13" s="8" t="str">
        <f>IF(C13="","",IFERROR(INDEX(标准答案!$C$6:$C$105,MATCH(C13,标准答案!$A$6:$A$105,0)),""))</f>
        <v/>
      </c>
      <c r="E13" s="8" t="str">
        <f>IF(C13="","",IFERROR(INDEX(标准答案!$E$6:$E$105,MATCH(C13,标准答案!$A$6:$A$105,0)),""))</f>
        <v/>
      </c>
      <c r="F13" s="8" t="str">
        <f>IF(C13="","",IFERROR(INDEX(标准答案!$D$6:$D$105,MATCH(C13,标准答案!$A$6:$A$105,0)),""))</f>
        <v/>
      </c>
      <c r="G13" s="21"/>
      <c r="H13" s="21"/>
      <c r="I13" s="26"/>
      <c r="J13" s="21"/>
      <c r="K13" s="21"/>
      <c r="L13" s="21"/>
      <c r="M13" s="8" t="str">
        <f t="shared" si="0"/>
        <v/>
      </c>
      <c r="N13" s="21"/>
      <c r="O13" s="21"/>
    </row>
    <row r="14" spans="1:15">
      <c r="A14" s="21"/>
      <c r="B14" s="21"/>
      <c r="C14" s="21"/>
      <c r="D14" s="8" t="str">
        <f>IF(C14="","",IFERROR(INDEX(标准答案!$C$6:$C$105,MATCH(C14,标准答案!$A$6:$A$105,0)),""))</f>
        <v/>
      </c>
      <c r="E14" s="8" t="str">
        <f>IF(C14="","",IFERROR(INDEX(标准答案!$E$6:$E$105,MATCH(C14,标准答案!$A$6:$A$105,0)),""))</f>
        <v/>
      </c>
      <c r="F14" s="8" t="str">
        <f>IF(C14="","",IFERROR(INDEX(标准答案!$D$6:$D$105,MATCH(C14,标准答案!$A$6:$A$105,0)),""))</f>
        <v/>
      </c>
      <c r="G14" s="21"/>
      <c r="H14" s="21"/>
      <c r="I14" s="26"/>
      <c r="J14" s="21"/>
      <c r="K14" s="21"/>
      <c r="L14" s="21"/>
      <c r="M14" s="8" t="str">
        <f t="shared" si="0"/>
        <v/>
      </c>
      <c r="N14" s="21"/>
      <c r="O14" s="21"/>
    </row>
    <row r="15" spans="1:15">
      <c r="A15" s="21"/>
      <c r="B15" s="21"/>
      <c r="C15" s="21"/>
      <c r="D15" s="8" t="str">
        <f>IF(C15="","",IFERROR(INDEX(标准答案!$C$6:$C$105,MATCH(C15,标准答案!$A$6:$A$105,0)),""))</f>
        <v/>
      </c>
      <c r="E15" s="8" t="str">
        <f>IF(C15="","",IFERROR(INDEX(标准答案!$E$6:$E$105,MATCH(C15,标准答案!$A$6:$A$105,0)),""))</f>
        <v/>
      </c>
      <c r="F15" s="8" t="str">
        <f>IF(C15="","",IFERROR(INDEX(标准答案!$D$6:$D$105,MATCH(C15,标准答案!$A$6:$A$105,0)),""))</f>
        <v/>
      </c>
      <c r="G15" s="21"/>
      <c r="H15" s="21"/>
      <c r="I15" s="26"/>
      <c r="J15" s="21"/>
      <c r="K15" s="21"/>
      <c r="L15" s="21"/>
      <c r="M15" s="8" t="str">
        <f t="shared" si="0"/>
        <v/>
      </c>
      <c r="N15" s="21"/>
      <c r="O15" s="21"/>
    </row>
    <row r="16" spans="1:15">
      <c r="A16" s="21"/>
      <c r="B16" s="21"/>
      <c r="C16" s="21"/>
      <c r="D16" s="8" t="str">
        <f>IF(C16="","",IFERROR(INDEX(标准答案!$C$6:$C$105,MATCH(C16,标准答案!$A$6:$A$105,0)),""))</f>
        <v/>
      </c>
      <c r="E16" s="8" t="str">
        <f>IF(C16="","",IFERROR(INDEX(标准答案!$E$6:$E$105,MATCH(C16,标准答案!$A$6:$A$105,0)),""))</f>
        <v/>
      </c>
      <c r="F16" s="8" t="str">
        <f>IF(C16="","",IFERROR(INDEX(标准答案!$D$6:$D$105,MATCH(C16,标准答案!$A$6:$A$105,0)),""))</f>
        <v/>
      </c>
      <c r="G16" s="21"/>
      <c r="H16" s="21"/>
      <c r="I16" s="26"/>
      <c r="J16" s="21"/>
      <c r="K16" s="21"/>
      <c r="L16" s="21"/>
      <c r="M16" s="8" t="str">
        <f t="shared" si="0"/>
        <v/>
      </c>
      <c r="N16" s="21"/>
      <c r="O16" s="21"/>
    </row>
    <row r="17" spans="1:15">
      <c r="A17" s="21"/>
      <c r="B17" s="21"/>
      <c r="C17" s="21"/>
      <c r="D17" s="8" t="str">
        <f>IF(C17="","",IFERROR(INDEX(标准答案!$C$6:$C$105,MATCH(C17,标准答案!$A$6:$A$105,0)),""))</f>
        <v/>
      </c>
      <c r="E17" s="8" t="str">
        <f>IF(C17="","",IFERROR(INDEX(标准答案!$E$6:$E$105,MATCH(C17,标准答案!$A$6:$A$105,0)),""))</f>
        <v/>
      </c>
      <c r="F17" s="8" t="str">
        <f>IF(C17="","",IFERROR(INDEX(标准答案!$D$6:$D$105,MATCH(C17,标准答案!$A$6:$A$105,0)),""))</f>
        <v/>
      </c>
      <c r="G17" s="21"/>
      <c r="H17" s="21"/>
      <c r="I17" s="26"/>
      <c r="J17" s="21"/>
      <c r="K17" s="21"/>
      <c r="L17" s="21"/>
      <c r="M17" s="8" t="str">
        <f t="shared" si="0"/>
        <v/>
      </c>
      <c r="N17" s="21"/>
      <c r="O17" s="21"/>
    </row>
    <row r="18" spans="1:15">
      <c r="A18" s="21"/>
      <c r="B18" s="21"/>
      <c r="C18" s="21"/>
      <c r="D18" s="8" t="str">
        <f>IF(C18="","",IFERROR(INDEX(标准答案!$C$6:$C$105,MATCH(C18,标准答案!$A$6:$A$105,0)),""))</f>
        <v/>
      </c>
      <c r="E18" s="8" t="str">
        <f>IF(C18="","",IFERROR(INDEX(标准答案!$E$6:$E$105,MATCH(C18,标准答案!$A$6:$A$105,0)),""))</f>
        <v/>
      </c>
      <c r="F18" s="8" t="str">
        <f>IF(C18="","",IFERROR(INDEX(标准答案!$D$6:$D$105,MATCH(C18,标准答案!$A$6:$A$105,0)),""))</f>
        <v/>
      </c>
      <c r="G18" s="21"/>
      <c r="H18" s="21"/>
      <c r="I18" s="26"/>
      <c r="J18" s="21"/>
      <c r="K18" s="21"/>
      <c r="L18" s="21"/>
      <c r="M18" s="8" t="str">
        <f t="shared" si="0"/>
        <v/>
      </c>
      <c r="N18" s="21"/>
      <c r="O18" s="21"/>
    </row>
    <row r="19" spans="1:15">
      <c r="A19" s="21"/>
      <c r="B19" s="21"/>
      <c r="C19" s="21"/>
      <c r="D19" s="8" t="str">
        <f>IF(C19="","",IFERROR(INDEX(标准答案!$C$6:$C$105,MATCH(C19,标准答案!$A$6:$A$105,0)),""))</f>
        <v/>
      </c>
      <c r="E19" s="8" t="str">
        <f>IF(C19="","",IFERROR(INDEX(标准答案!$E$6:$E$105,MATCH(C19,标准答案!$A$6:$A$105,0)),""))</f>
        <v/>
      </c>
      <c r="F19" s="8" t="str">
        <f>IF(C19="","",IFERROR(INDEX(标准答案!$D$6:$D$105,MATCH(C19,标准答案!$A$6:$A$105,0)),""))</f>
        <v/>
      </c>
      <c r="G19" s="21"/>
      <c r="H19" s="21"/>
      <c r="I19" s="26"/>
      <c r="J19" s="21"/>
      <c r="K19" s="21"/>
      <c r="L19" s="21"/>
      <c r="M19" s="8" t="str">
        <f t="shared" si="0"/>
        <v/>
      </c>
      <c r="N19" s="21"/>
      <c r="O19" s="21"/>
    </row>
    <row r="20" spans="1:15">
      <c r="A20" s="21"/>
      <c r="B20" s="21"/>
      <c r="C20" s="21"/>
      <c r="D20" s="8" t="str">
        <f>IF(C20="","",IFERROR(INDEX(标准答案!$C$6:$C$105,MATCH(C20,标准答案!$A$6:$A$105,0)),""))</f>
        <v/>
      </c>
      <c r="E20" s="8" t="str">
        <f>IF(C20="","",IFERROR(INDEX(标准答案!$E$6:$E$105,MATCH(C20,标准答案!$A$6:$A$105,0)),""))</f>
        <v/>
      </c>
      <c r="F20" s="8" t="str">
        <f>IF(C20="","",IFERROR(INDEX(标准答案!$D$6:$D$105,MATCH(C20,标准答案!$A$6:$A$105,0)),""))</f>
        <v/>
      </c>
      <c r="G20" s="21"/>
      <c r="H20" s="21"/>
      <c r="I20" s="26"/>
      <c r="J20" s="21"/>
      <c r="K20" s="21"/>
      <c r="L20" s="21"/>
      <c r="M20" s="8" t="str">
        <f t="shared" si="0"/>
        <v/>
      </c>
      <c r="N20" s="21"/>
      <c r="O20" s="21"/>
    </row>
    <row r="21" spans="1:15">
      <c r="A21" s="21"/>
      <c r="B21" s="21"/>
      <c r="C21" s="21"/>
      <c r="D21" s="8" t="str">
        <f>IF(C21="","",IFERROR(INDEX(标准答案!$C$6:$C$105,MATCH(C21,标准答案!$A$6:$A$105,0)),""))</f>
        <v/>
      </c>
      <c r="E21" s="8" t="str">
        <f>IF(C21="","",IFERROR(INDEX(标准答案!$E$6:$E$105,MATCH(C21,标准答案!$A$6:$A$105,0)),""))</f>
        <v/>
      </c>
      <c r="F21" s="8" t="str">
        <f>IF(C21="","",IFERROR(INDEX(标准答案!$D$6:$D$105,MATCH(C21,标准答案!$A$6:$A$105,0)),""))</f>
        <v/>
      </c>
      <c r="G21" s="21"/>
      <c r="H21" s="21"/>
      <c r="I21" s="26"/>
      <c r="J21" s="21"/>
      <c r="K21" s="21"/>
      <c r="L21" s="21"/>
      <c r="M21" s="8" t="str">
        <f t="shared" si="0"/>
        <v/>
      </c>
      <c r="N21" s="21"/>
      <c r="O21" s="21"/>
    </row>
    <row r="22" spans="1:15">
      <c r="A22" s="21"/>
      <c r="B22" s="21"/>
      <c r="C22" s="21"/>
      <c r="D22" s="8" t="str">
        <f>IF(C22="","",IFERROR(INDEX(标准答案!$C$6:$C$105,MATCH(C22,标准答案!$A$6:$A$105,0)),""))</f>
        <v/>
      </c>
      <c r="E22" s="8" t="str">
        <f>IF(C22="","",IFERROR(INDEX(标准答案!$E$6:$E$105,MATCH(C22,标准答案!$A$6:$A$105,0)),""))</f>
        <v/>
      </c>
      <c r="F22" s="8" t="str">
        <f>IF(C22="","",IFERROR(INDEX(标准答案!$D$6:$D$105,MATCH(C22,标准答案!$A$6:$A$105,0)),""))</f>
        <v/>
      </c>
      <c r="G22" s="21"/>
      <c r="H22" s="21"/>
      <c r="I22" s="26"/>
      <c r="J22" s="21"/>
      <c r="K22" s="21"/>
      <c r="L22" s="21"/>
      <c r="M22" s="8" t="str">
        <f t="shared" si="0"/>
        <v/>
      </c>
      <c r="N22" s="21"/>
      <c r="O22" s="21"/>
    </row>
    <row r="23" spans="1:15">
      <c r="A23" s="21"/>
      <c r="B23" s="21"/>
      <c r="C23" s="21"/>
      <c r="D23" s="8" t="str">
        <f>IF(C23="","",IFERROR(INDEX(标准答案!$C$6:$C$105,MATCH(C23,标准答案!$A$6:$A$105,0)),""))</f>
        <v/>
      </c>
      <c r="E23" s="8" t="str">
        <f>IF(C23="","",IFERROR(INDEX(标准答案!$E$6:$E$105,MATCH(C23,标准答案!$A$6:$A$105,0)),""))</f>
        <v/>
      </c>
      <c r="F23" s="8" t="str">
        <f>IF(C23="","",IFERROR(INDEX(标准答案!$D$6:$D$105,MATCH(C23,标准答案!$A$6:$A$105,0)),""))</f>
        <v/>
      </c>
      <c r="G23" s="21"/>
      <c r="H23" s="21"/>
      <c r="I23" s="26"/>
      <c r="J23" s="21"/>
      <c r="K23" s="21"/>
      <c r="L23" s="21"/>
      <c r="M23" s="8" t="str">
        <f t="shared" si="0"/>
        <v/>
      </c>
      <c r="N23" s="21"/>
      <c r="O23" s="21"/>
    </row>
    <row r="24" spans="1:15">
      <c r="A24" s="21"/>
      <c r="B24" s="21"/>
      <c r="C24" s="21"/>
      <c r="D24" s="8" t="str">
        <f>IF(C24="","",IFERROR(INDEX(标准答案!$C$6:$C$105,MATCH(C24,标准答案!$A$6:$A$105,0)),""))</f>
        <v/>
      </c>
      <c r="E24" s="8" t="str">
        <f>IF(C24="","",IFERROR(INDEX(标准答案!$E$6:$E$105,MATCH(C24,标准答案!$A$6:$A$105,0)),""))</f>
        <v/>
      </c>
      <c r="F24" s="8" t="str">
        <f>IF(C24="","",IFERROR(INDEX(标准答案!$D$6:$D$105,MATCH(C24,标准答案!$A$6:$A$105,0)),""))</f>
        <v/>
      </c>
      <c r="G24" s="21"/>
      <c r="H24" s="21"/>
      <c r="I24" s="26"/>
      <c r="J24" s="21"/>
      <c r="K24" s="21"/>
      <c r="L24" s="21"/>
      <c r="M24" s="8" t="str">
        <f t="shared" si="0"/>
        <v/>
      </c>
      <c r="N24" s="21"/>
      <c r="O24" s="21"/>
    </row>
    <row r="25" spans="1:15">
      <c r="A25" s="21"/>
      <c r="B25" s="21"/>
      <c r="C25" s="21"/>
      <c r="D25" s="8" t="str">
        <f>IF(C25="","",IFERROR(INDEX(标准答案!$C$6:$C$105,MATCH(C25,标准答案!$A$6:$A$105,0)),""))</f>
        <v/>
      </c>
      <c r="E25" s="8" t="str">
        <f>IF(C25="","",IFERROR(INDEX(标准答案!$E$6:$E$105,MATCH(C25,标准答案!$A$6:$A$105,0)),""))</f>
        <v/>
      </c>
      <c r="F25" s="8" t="str">
        <f>IF(C25="","",IFERROR(INDEX(标准答案!$D$6:$D$105,MATCH(C25,标准答案!$A$6:$A$105,0)),""))</f>
        <v/>
      </c>
      <c r="G25" s="21"/>
      <c r="H25" s="21"/>
      <c r="I25" s="26"/>
      <c r="J25" s="21"/>
      <c r="K25" s="21"/>
      <c r="L25" s="21"/>
      <c r="M25" s="8" t="str">
        <f t="shared" si="0"/>
        <v/>
      </c>
      <c r="N25" s="21"/>
      <c r="O25" s="21"/>
    </row>
    <row r="26" spans="1:15">
      <c r="A26" s="21"/>
      <c r="B26" s="21"/>
      <c r="C26" s="21"/>
      <c r="D26" s="8" t="str">
        <f>IF(C26="","",IFERROR(INDEX(标准答案!$C$6:$C$105,MATCH(C26,标准答案!$A$6:$A$105,0)),""))</f>
        <v/>
      </c>
      <c r="E26" s="8" t="str">
        <f>IF(C26="","",IFERROR(INDEX(标准答案!$E$6:$E$105,MATCH(C26,标准答案!$A$6:$A$105,0)),""))</f>
        <v/>
      </c>
      <c r="F26" s="8" t="str">
        <f>IF(C26="","",IFERROR(INDEX(标准答案!$D$6:$D$105,MATCH(C26,标准答案!$A$6:$A$105,0)),""))</f>
        <v/>
      </c>
      <c r="G26" s="21"/>
      <c r="H26" s="21"/>
      <c r="I26" s="26"/>
      <c r="J26" s="21"/>
      <c r="K26" s="21"/>
      <c r="L26" s="21"/>
      <c r="M26" s="8" t="str">
        <f t="shared" si="0"/>
        <v/>
      </c>
      <c r="N26" s="21"/>
      <c r="O26" s="21"/>
    </row>
    <row r="27" spans="1:15">
      <c r="A27" s="21"/>
      <c r="B27" s="21"/>
      <c r="C27" s="21"/>
      <c r="D27" s="8" t="str">
        <f>IF(C27="","",IFERROR(INDEX(标准答案!$C$6:$C$105,MATCH(C27,标准答案!$A$6:$A$105,0)),""))</f>
        <v/>
      </c>
      <c r="E27" s="8" t="str">
        <f>IF(C27="","",IFERROR(INDEX(标准答案!$E$6:$E$105,MATCH(C27,标准答案!$A$6:$A$105,0)),""))</f>
        <v/>
      </c>
      <c r="F27" s="8" t="str">
        <f>IF(C27="","",IFERROR(INDEX(标准答案!$D$6:$D$105,MATCH(C27,标准答案!$A$6:$A$105,0)),""))</f>
        <v/>
      </c>
      <c r="G27" s="21"/>
      <c r="H27" s="21"/>
      <c r="I27" s="26"/>
      <c r="J27" s="21"/>
      <c r="K27" s="21"/>
      <c r="L27" s="21"/>
      <c r="M27" s="8" t="str">
        <f t="shared" si="0"/>
        <v/>
      </c>
      <c r="N27" s="21"/>
      <c r="O27" s="21"/>
    </row>
    <row r="28" spans="1:15">
      <c r="A28" s="21"/>
      <c r="B28" s="21"/>
      <c r="C28" s="21"/>
      <c r="D28" s="8" t="str">
        <f>IF(C28="","",IFERROR(INDEX(标准答案!$C$6:$C$105,MATCH(C28,标准答案!$A$6:$A$105,0)),""))</f>
        <v/>
      </c>
      <c r="E28" s="8" t="str">
        <f>IF(C28="","",IFERROR(INDEX(标准答案!$E$6:$E$105,MATCH(C28,标准答案!$A$6:$A$105,0)),""))</f>
        <v/>
      </c>
      <c r="F28" s="8" t="str">
        <f>IF(C28="","",IFERROR(INDEX(标准答案!$D$6:$D$105,MATCH(C28,标准答案!$A$6:$A$105,0)),""))</f>
        <v/>
      </c>
      <c r="G28" s="21"/>
      <c r="H28" s="21"/>
      <c r="I28" s="26"/>
      <c r="J28" s="21"/>
      <c r="K28" s="21"/>
      <c r="L28" s="21"/>
      <c r="M28" s="8" t="str">
        <f t="shared" si="0"/>
        <v/>
      </c>
      <c r="N28" s="21"/>
      <c r="O28" s="21"/>
    </row>
    <row r="29" spans="1:15">
      <c r="A29" s="21"/>
      <c r="B29" s="21"/>
      <c r="C29" s="21"/>
      <c r="D29" s="8" t="str">
        <f>IF(C29="","",IFERROR(INDEX(标准答案!$C$6:$C$105,MATCH(C29,标准答案!$A$6:$A$105,0)),""))</f>
        <v/>
      </c>
      <c r="E29" s="8" t="str">
        <f>IF(C29="","",IFERROR(INDEX(标准答案!$E$6:$E$105,MATCH(C29,标准答案!$A$6:$A$105,0)),""))</f>
        <v/>
      </c>
      <c r="F29" s="8" t="str">
        <f>IF(C29="","",IFERROR(INDEX(标准答案!$D$6:$D$105,MATCH(C29,标准答案!$A$6:$A$105,0)),""))</f>
        <v/>
      </c>
      <c r="G29" s="21"/>
      <c r="H29" s="21"/>
      <c r="I29" s="26"/>
      <c r="J29" s="21"/>
      <c r="K29" s="21"/>
      <c r="L29" s="21"/>
      <c r="M29" s="8" t="str">
        <f t="shared" si="0"/>
        <v/>
      </c>
      <c r="N29" s="21"/>
      <c r="O29" s="21"/>
    </row>
    <row r="30" spans="1:15">
      <c r="A30" s="21"/>
      <c r="B30" s="21"/>
      <c r="C30" s="21"/>
      <c r="D30" s="8" t="str">
        <f>IF(C30="","",IFERROR(INDEX(标准答案!$C$6:$C$105,MATCH(C30,标准答案!$A$6:$A$105,0)),""))</f>
        <v/>
      </c>
      <c r="E30" s="8" t="str">
        <f>IF(C30="","",IFERROR(INDEX(标准答案!$E$6:$E$105,MATCH(C30,标准答案!$A$6:$A$105,0)),""))</f>
        <v/>
      </c>
      <c r="F30" s="8" t="str">
        <f>IF(C30="","",IFERROR(INDEX(标准答案!$D$6:$D$105,MATCH(C30,标准答案!$A$6:$A$105,0)),""))</f>
        <v/>
      </c>
      <c r="G30" s="21"/>
      <c r="H30" s="21"/>
      <c r="I30" s="26"/>
      <c r="J30" s="21"/>
      <c r="K30" s="21"/>
      <c r="L30" s="21"/>
      <c r="M30" s="8" t="str">
        <f t="shared" si="0"/>
        <v/>
      </c>
      <c r="N30" s="21"/>
      <c r="O30" s="21"/>
    </row>
    <row r="31" spans="1:15">
      <c r="A31" s="21"/>
      <c r="B31" s="21"/>
      <c r="C31" s="21"/>
      <c r="D31" s="8" t="str">
        <f>IF(C31="","",IFERROR(INDEX(标准答案!$C$6:$C$105,MATCH(C31,标准答案!$A$6:$A$105,0)),""))</f>
        <v/>
      </c>
      <c r="E31" s="8" t="str">
        <f>IF(C31="","",IFERROR(INDEX(标准答案!$E$6:$E$105,MATCH(C31,标准答案!$A$6:$A$105,0)),""))</f>
        <v/>
      </c>
      <c r="F31" s="8" t="str">
        <f>IF(C31="","",IFERROR(INDEX(标准答案!$D$6:$D$105,MATCH(C31,标准答案!$A$6:$A$105,0)),""))</f>
        <v/>
      </c>
      <c r="G31" s="21"/>
      <c r="H31" s="21"/>
      <c r="I31" s="26"/>
      <c r="J31" s="21"/>
      <c r="K31" s="21"/>
      <c r="L31" s="21"/>
      <c r="M31" s="8" t="str">
        <f t="shared" si="0"/>
        <v/>
      </c>
      <c r="N31" s="21"/>
      <c r="O31" s="21"/>
    </row>
    <row r="32" spans="1:15">
      <c r="A32" s="21"/>
      <c r="B32" s="21"/>
      <c r="C32" s="21"/>
      <c r="D32" s="8" t="str">
        <f>IF(C32="","",IFERROR(INDEX(标准答案!$C$6:$C$105,MATCH(C32,标准答案!$A$6:$A$105,0)),""))</f>
        <v/>
      </c>
      <c r="E32" s="8" t="str">
        <f>IF(C32="","",IFERROR(INDEX(标准答案!$E$6:$E$105,MATCH(C32,标准答案!$A$6:$A$105,0)),""))</f>
        <v/>
      </c>
      <c r="F32" s="8" t="str">
        <f>IF(C32="","",IFERROR(INDEX(标准答案!$D$6:$D$105,MATCH(C32,标准答案!$A$6:$A$105,0)),""))</f>
        <v/>
      </c>
      <c r="G32" s="21"/>
      <c r="H32" s="21"/>
      <c r="I32" s="26"/>
      <c r="J32" s="21"/>
      <c r="K32" s="21"/>
      <c r="L32" s="21"/>
      <c r="M32" s="8" t="str">
        <f t="shared" si="0"/>
        <v/>
      </c>
      <c r="N32" s="21"/>
      <c r="O32" s="21"/>
    </row>
    <row r="33" spans="1:15">
      <c r="A33" s="21"/>
      <c r="B33" s="21"/>
      <c r="C33" s="21"/>
      <c r="D33" s="8" t="str">
        <f>IF(C33="","",IFERROR(INDEX(标准答案!$C$6:$C$105,MATCH(C33,标准答案!$A$6:$A$105,0)),""))</f>
        <v/>
      </c>
      <c r="E33" s="8" t="str">
        <f>IF(C33="","",IFERROR(INDEX(标准答案!$E$6:$E$105,MATCH(C33,标准答案!$A$6:$A$105,0)),""))</f>
        <v/>
      </c>
      <c r="F33" s="8" t="str">
        <f>IF(C33="","",IFERROR(INDEX(标准答案!$D$6:$D$105,MATCH(C33,标准答案!$A$6:$A$105,0)),""))</f>
        <v/>
      </c>
      <c r="G33" s="21"/>
      <c r="H33" s="21"/>
      <c r="I33" s="26"/>
      <c r="J33" s="21"/>
      <c r="K33" s="21"/>
      <c r="L33" s="21"/>
      <c r="M33" s="8" t="str">
        <f t="shared" si="0"/>
        <v/>
      </c>
      <c r="N33" s="21"/>
      <c r="O33" s="21"/>
    </row>
    <row r="34" spans="1:15">
      <c r="A34" s="21"/>
      <c r="B34" s="21"/>
      <c r="C34" s="21"/>
      <c r="D34" s="8" t="str">
        <f>IF(C34="","",IFERROR(INDEX(标准答案!$C$6:$C$105,MATCH(C34,标准答案!$A$6:$A$105,0)),""))</f>
        <v/>
      </c>
      <c r="E34" s="8" t="str">
        <f>IF(C34="","",IFERROR(INDEX(标准答案!$E$6:$E$105,MATCH(C34,标准答案!$A$6:$A$105,0)),""))</f>
        <v/>
      </c>
      <c r="F34" s="8" t="str">
        <f>IF(C34="","",IFERROR(INDEX(标准答案!$D$6:$D$105,MATCH(C34,标准答案!$A$6:$A$105,0)),""))</f>
        <v/>
      </c>
      <c r="G34" s="21"/>
      <c r="H34" s="21"/>
      <c r="I34" s="26"/>
      <c r="J34" s="21"/>
      <c r="K34" s="21"/>
      <c r="L34" s="21"/>
      <c r="M34" s="8" t="str">
        <f t="shared" si="0"/>
        <v/>
      </c>
      <c r="N34" s="21"/>
      <c r="O34" s="21"/>
    </row>
    <row r="35" spans="1:15">
      <c r="A35" s="21"/>
      <c r="B35" s="21"/>
      <c r="C35" s="21"/>
      <c r="D35" s="8" t="str">
        <f>IF(C35="","",IFERROR(INDEX(标准答案!$C$6:$C$105,MATCH(C35,标准答案!$A$6:$A$105,0)),""))</f>
        <v/>
      </c>
      <c r="E35" s="8" t="str">
        <f>IF(C35="","",IFERROR(INDEX(标准答案!$E$6:$E$105,MATCH(C35,标准答案!$A$6:$A$105,0)),""))</f>
        <v/>
      </c>
      <c r="F35" s="8" t="str">
        <f>IF(C35="","",IFERROR(INDEX(标准答案!$D$6:$D$105,MATCH(C35,标准答案!$A$6:$A$105,0)),""))</f>
        <v/>
      </c>
      <c r="G35" s="21"/>
      <c r="H35" s="21"/>
      <c r="I35" s="26"/>
      <c r="J35" s="21"/>
      <c r="K35" s="21"/>
      <c r="L35" s="21"/>
      <c r="M35" s="8" t="str">
        <f t="shared" si="0"/>
        <v/>
      </c>
      <c r="N35" s="21"/>
      <c r="O35" s="21"/>
    </row>
    <row r="36" spans="1:15">
      <c r="A36" s="21"/>
      <c r="B36" s="21"/>
      <c r="C36" s="21"/>
      <c r="D36" s="8" t="str">
        <f>IF(C36="","",IFERROR(INDEX(标准答案!$C$6:$C$105,MATCH(C36,标准答案!$A$6:$A$105,0)),""))</f>
        <v/>
      </c>
      <c r="E36" s="8" t="str">
        <f>IF(C36="","",IFERROR(INDEX(标准答案!$E$6:$E$105,MATCH(C36,标准答案!$A$6:$A$105,0)),""))</f>
        <v/>
      </c>
      <c r="F36" s="8" t="str">
        <f>IF(C36="","",IFERROR(INDEX(标准答案!$D$6:$D$105,MATCH(C36,标准答案!$A$6:$A$105,0)),""))</f>
        <v/>
      </c>
      <c r="G36" s="21"/>
      <c r="H36" s="21"/>
      <c r="I36" s="26"/>
      <c r="J36" s="21"/>
      <c r="K36" s="21"/>
      <c r="L36" s="21"/>
      <c r="M36" s="8" t="str">
        <f t="shared" si="0"/>
        <v/>
      </c>
      <c r="N36" s="21"/>
      <c r="O36" s="21"/>
    </row>
    <row r="37" spans="1:15">
      <c r="A37" s="21"/>
      <c r="B37" s="21"/>
      <c r="C37" s="21"/>
      <c r="D37" s="8" t="str">
        <f>IF(C37="","",IFERROR(INDEX(标准答案!$C$6:$C$105,MATCH(C37,标准答案!$A$6:$A$105,0)),""))</f>
        <v/>
      </c>
      <c r="E37" s="8" t="str">
        <f>IF(C37="","",IFERROR(INDEX(标准答案!$E$6:$E$105,MATCH(C37,标准答案!$A$6:$A$105,0)),""))</f>
        <v/>
      </c>
      <c r="F37" s="8" t="str">
        <f>IF(C37="","",IFERROR(INDEX(标准答案!$D$6:$D$105,MATCH(C37,标准答案!$A$6:$A$105,0)),""))</f>
        <v/>
      </c>
      <c r="G37" s="21"/>
      <c r="H37" s="21"/>
      <c r="I37" s="26"/>
      <c r="J37" s="21"/>
      <c r="K37" s="21"/>
      <c r="L37" s="21"/>
      <c r="M37" s="8" t="str">
        <f t="shared" si="0"/>
        <v/>
      </c>
      <c r="N37" s="21"/>
      <c r="O37" s="21"/>
    </row>
    <row r="38" spans="1:15">
      <c r="A38" s="21"/>
      <c r="B38" s="21"/>
      <c r="C38" s="21"/>
      <c r="D38" s="8" t="str">
        <f>IF(C38="","",IFERROR(INDEX(标准答案!$C$6:$C$105,MATCH(C38,标准答案!$A$6:$A$105,0)),""))</f>
        <v/>
      </c>
      <c r="E38" s="8" t="str">
        <f>IF(C38="","",IFERROR(INDEX(标准答案!$E$6:$E$105,MATCH(C38,标准答案!$A$6:$A$105,0)),""))</f>
        <v/>
      </c>
      <c r="F38" s="8" t="str">
        <f>IF(C38="","",IFERROR(INDEX(标准答案!$D$6:$D$105,MATCH(C38,标准答案!$A$6:$A$105,0)),""))</f>
        <v/>
      </c>
      <c r="G38" s="21"/>
      <c r="H38" s="21"/>
      <c r="I38" s="26"/>
      <c r="J38" s="21"/>
      <c r="K38" s="21"/>
      <c r="L38" s="21"/>
      <c r="M38" s="8" t="str">
        <f t="shared" ref="M38:M69" si="1">IF(OR(A38="",B38=""),"",IF(AND(C38="",H38&lt;&gt;""),"FP",IF(AND(C38&lt;&gt;"",H38=""),"FN",IF(F38&lt;&gt;H38,"VALUE_ERROR",IF(F38&lt;&gt;"Published","TP",IF(UPPER(TRIM(E38))=UPPER(TRIM(G38)),"TP","VALUE_ERROR"))))))</f>
        <v/>
      </c>
      <c r="N38" s="21"/>
      <c r="O38" s="21"/>
    </row>
    <row r="39" spans="1:15">
      <c r="A39" s="21"/>
      <c r="B39" s="21"/>
      <c r="C39" s="21"/>
      <c r="D39" s="8" t="str">
        <f>IF(C39="","",IFERROR(INDEX(标准答案!$C$6:$C$105,MATCH(C39,标准答案!$A$6:$A$105,0)),""))</f>
        <v/>
      </c>
      <c r="E39" s="8" t="str">
        <f>IF(C39="","",IFERROR(INDEX(标准答案!$E$6:$E$105,MATCH(C39,标准答案!$A$6:$A$105,0)),""))</f>
        <v/>
      </c>
      <c r="F39" s="8" t="str">
        <f>IF(C39="","",IFERROR(INDEX(标准答案!$D$6:$D$105,MATCH(C39,标准答案!$A$6:$A$105,0)),""))</f>
        <v/>
      </c>
      <c r="G39" s="21"/>
      <c r="H39" s="21"/>
      <c r="I39" s="26"/>
      <c r="J39" s="21"/>
      <c r="K39" s="21"/>
      <c r="L39" s="21"/>
      <c r="M39" s="8" t="str">
        <f t="shared" si="1"/>
        <v/>
      </c>
      <c r="N39" s="21"/>
      <c r="O39" s="21"/>
    </row>
    <row r="40" spans="1:15">
      <c r="A40" s="21"/>
      <c r="B40" s="21"/>
      <c r="C40" s="21"/>
      <c r="D40" s="8" t="str">
        <f>IF(C40="","",IFERROR(INDEX(标准答案!$C$6:$C$105,MATCH(C40,标准答案!$A$6:$A$105,0)),""))</f>
        <v/>
      </c>
      <c r="E40" s="8" t="str">
        <f>IF(C40="","",IFERROR(INDEX(标准答案!$E$6:$E$105,MATCH(C40,标准答案!$A$6:$A$105,0)),""))</f>
        <v/>
      </c>
      <c r="F40" s="8" t="str">
        <f>IF(C40="","",IFERROR(INDEX(标准答案!$D$6:$D$105,MATCH(C40,标准答案!$A$6:$A$105,0)),""))</f>
        <v/>
      </c>
      <c r="G40" s="21"/>
      <c r="H40" s="21"/>
      <c r="I40" s="26"/>
      <c r="J40" s="21"/>
      <c r="K40" s="21"/>
      <c r="L40" s="21"/>
      <c r="M40" s="8" t="str">
        <f t="shared" si="1"/>
        <v/>
      </c>
      <c r="N40" s="21"/>
      <c r="O40" s="21"/>
    </row>
    <row r="41" spans="1:15">
      <c r="A41" s="21"/>
      <c r="B41" s="21"/>
      <c r="C41" s="21"/>
      <c r="D41" s="8" t="str">
        <f>IF(C41="","",IFERROR(INDEX(标准答案!$C$6:$C$105,MATCH(C41,标准答案!$A$6:$A$105,0)),""))</f>
        <v/>
      </c>
      <c r="E41" s="8" t="str">
        <f>IF(C41="","",IFERROR(INDEX(标准答案!$E$6:$E$105,MATCH(C41,标准答案!$A$6:$A$105,0)),""))</f>
        <v/>
      </c>
      <c r="F41" s="8" t="str">
        <f>IF(C41="","",IFERROR(INDEX(标准答案!$D$6:$D$105,MATCH(C41,标准答案!$A$6:$A$105,0)),""))</f>
        <v/>
      </c>
      <c r="G41" s="21"/>
      <c r="H41" s="21"/>
      <c r="I41" s="26"/>
      <c r="J41" s="21"/>
      <c r="K41" s="21"/>
      <c r="L41" s="21"/>
      <c r="M41" s="8" t="str">
        <f t="shared" si="1"/>
        <v/>
      </c>
      <c r="N41" s="21"/>
      <c r="O41" s="21"/>
    </row>
    <row r="42" spans="1:15">
      <c r="A42" s="21"/>
      <c r="B42" s="21"/>
      <c r="C42" s="21"/>
      <c r="D42" s="8" t="str">
        <f>IF(C42="","",IFERROR(INDEX(标准答案!$C$6:$C$105,MATCH(C42,标准答案!$A$6:$A$105,0)),""))</f>
        <v/>
      </c>
      <c r="E42" s="8" t="str">
        <f>IF(C42="","",IFERROR(INDEX(标准答案!$E$6:$E$105,MATCH(C42,标准答案!$A$6:$A$105,0)),""))</f>
        <v/>
      </c>
      <c r="F42" s="8" t="str">
        <f>IF(C42="","",IFERROR(INDEX(标准答案!$D$6:$D$105,MATCH(C42,标准答案!$A$6:$A$105,0)),""))</f>
        <v/>
      </c>
      <c r="G42" s="21"/>
      <c r="H42" s="21"/>
      <c r="I42" s="26"/>
      <c r="J42" s="21"/>
      <c r="K42" s="21"/>
      <c r="L42" s="21"/>
      <c r="M42" s="8" t="str">
        <f t="shared" si="1"/>
        <v/>
      </c>
      <c r="N42" s="21"/>
      <c r="O42" s="21"/>
    </row>
    <row r="43" spans="1:15">
      <c r="A43" s="21"/>
      <c r="B43" s="21"/>
      <c r="C43" s="21"/>
      <c r="D43" s="8" t="str">
        <f>IF(C43="","",IFERROR(INDEX(标准答案!$C$6:$C$105,MATCH(C43,标准答案!$A$6:$A$105,0)),""))</f>
        <v/>
      </c>
      <c r="E43" s="8" t="str">
        <f>IF(C43="","",IFERROR(INDEX(标准答案!$E$6:$E$105,MATCH(C43,标准答案!$A$6:$A$105,0)),""))</f>
        <v/>
      </c>
      <c r="F43" s="8" t="str">
        <f>IF(C43="","",IFERROR(INDEX(标准答案!$D$6:$D$105,MATCH(C43,标准答案!$A$6:$A$105,0)),""))</f>
        <v/>
      </c>
      <c r="G43" s="21"/>
      <c r="H43" s="21"/>
      <c r="I43" s="26"/>
      <c r="J43" s="21"/>
      <c r="K43" s="21"/>
      <c r="L43" s="21"/>
      <c r="M43" s="8" t="str">
        <f t="shared" si="1"/>
        <v/>
      </c>
      <c r="N43" s="21"/>
      <c r="O43" s="21"/>
    </row>
    <row r="44" spans="1:15">
      <c r="A44" s="21"/>
      <c r="B44" s="21"/>
      <c r="C44" s="21"/>
      <c r="D44" s="8" t="str">
        <f>IF(C44="","",IFERROR(INDEX(标准答案!$C$6:$C$105,MATCH(C44,标准答案!$A$6:$A$105,0)),""))</f>
        <v/>
      </c>
      <c r="E44" s="8" t="str">
        <f>IF(C44="","",IFERROR(INDEX(标准答案!$E$6:$E$105,MATCH(C44,标准答案!$A$6:$A$105,0)),""))</f>
        <v/>
      </c>
      <c r="F44" s="8" t="str">
        <f>IF(C44="","",IFERROR(INDEX(标准答案!$D$6:$D$105,MATCH(C44,标准答案!$A$6:$A$105,0)),""))</f>
        <v/>
      </c>
      <c r="G44" s="21"/>
      <c r="H44" s="21"/>
      <c r="I44" s="26"/>
      <c r="J44" s="21"/>
      <c r="K44" s="21"/>
      <c r="L44" s="21"/>
      <c r="M44" s="8" t="str">
        <f t="shared" si="1"/>
        <v/>
      </c>
      <c r="N44" s="21"/>
      <c r="O44" s="21"/>
    </row>
    <row r="45" spans="1:15">
      <c r="A45" s="21"/>
      <c r="B45" s="21"/>
      <c r="C45" s="21"/>
      <c r="D45" s="8" t="str">
        <f>IF(C45="","",IFERROR(INDEX(标准答案!$C$6:$C$105,MATCH(C45,标准答案!$A$6:$A$105,0)),""))</f>
        <v/>
      </c>
      <c r="E45" s="8" t="str">
        <f>IF(C45="","",IFERROR(INDEX(标准答案!$E$6:$E$105,MATCH(C45,标准答案!$A$6:$A$105,0)),""))</f>
        <v/>
      </c>
      <c r="F45" s="8" t="str">
        <f>IF(C45="","",IFERROR(INDEX(标准答案!$D$6:$D$105,MATCH(C45,标准答案!$A$6:$A$105,0)),""))</f>
        <v/>
      </c>
      <c r="G45" s="21"/>
      <c r="H45" s="21"/>
      <c r="I45" s="26"/>
      <c r="J45" s="21"/>
      <c r="K45" s="21"/>
      <c r="L45" s="21"/>
      <c r="M45" s="8" t="str">
        <f t="shared" si="1"/>
        <v/>
      </c>
      <c r="N45" s="21"/>
      <c r="O45" s="21"/>
    </row>
    <row r="46" spans="1:15">
      <c r="A46" s="21"/>
      <c r="B46" s="21"/>
      <c r="C46" s="21"/>
      <c r="D46" s="8" t="str">
        <f>IF(C46="","",IFERROR(INDEX(标准答案!$C$6:$C$105,MATCH(C46,标准答案!$A$6:$A$105,0)),""))</f>
        <v/>
      </c>
      <c r="E46" s="8" t="str">
        <f>IF(C46="","",IFERROR(INDEX(标准答案!$E$6:$E$105,MATCH(C46,标准答案!$A$6:$A$105,0)),""))</f>
        <v/>
      </c>
      <c r="F46" s="8" t="str">
        <f>IF(C46="","",IFERROR(INDEX(标准答案!$D$6:$D$105,MATCH(C46,标准答案!$A$6:$A$105,0)),""))</f>
        <v/>
      </c>
      <c r="G46" s="21"/>
      <c r="H46" s="21"/>
      <c r="I46" s="26"/>
      <c r="J46" s="21"/>
      <c r="K46" s="21"/>
      <c r="L46" s="21"/>
      <c r="M46" s="8" t="str">
        <f t="shared" si="1"/>
        <v/>
      </c>
      <c r="N46" s="21"/>
      <c r="O46" s="21"/>
    </row>
    <row r="47" spans="1:15">
      <c r="A47" s="21"/>
      <c r="B47" s="21"/>
      <c r="C47" s="21"/>
      <c r="D47" s="8" t="str">
        <f>IF(C47="","",IFERROR(INDEX(标准答案!$C$6:$C$105,MATCH(C47,标准答案!$A$6:$A$105,0)),""))</f>
        <v/>
      </c>
      <c r="E47" s="8" t="str">
        <f>IF(C47="","",IFERROR(INDEX(标准答案!$E$6:$E$105,MATCH(C47,标准答案!$A$6:$A$105,0)),""))</f>
        <v/>
      </c>
      <c r="F47" s="8" t="str">
        <f>IF(C47="","",IFERROR(INDEX(标准答案!$D$6:$D$105,MATCH(C47,标准答案!$A$6:$A$105,0)),""))</f>
        <v/>
      </c>
      <c r="G47" s="21"/>
      <c r="H47" s="21"/>
      <c r="I47" s="26"/>
      <c r="J47" s="21"/>
      <c r="K47" s="21"/>
      <c r="L47" s="21"/>
      <c r="M47" s="8" t="str">
        <f t="shared" si="1"/>
        <v/>
      </c>
      <c r="N47" s="21"/>
      <c r="O47" s="21"/>
    </row>
    <row r="48" spans="1:15">
      <c r="A48" s="21"/>
      <c r="B48" s="21"/>
      <c r="C48" s="21"/>
      <c r="D48" s="8" t="str">
        <f>IF(C48="","",IFERROR(INDEX(标准答案!$C$6:$C$105,MATCH(C48,标准答案!$A$6:$A$105,0)),""))</f>
        <v/>
      </c>
      <c r="E48" s="8" t="str">
        <f>IF(C48="","",IFERROR(INDEX(标准答案!$E$6:$E$105,MATCH(C48,标准答案!$A$6:$A$105,0)),""))</f>
        <v/>
      </c>
      <c r="F48" s="8" t="str">
        <f>IF(C48="","",IFERROR(INDEX(标准答案!$D$6:$D$105,MATCH(C48,标准答案!$A$6:$A$105,0)),""))</f>
        <v/>
      </c>
      <c r="G48" s="21"/>
      <c r="H48" s="21"/>
      <c r="I48" s="26"/>
      <c r="J48" s="21"/>
      <c r="K48" s="21"/>
      <c r="L48" s="21"/>
      <c r="M48" s="8" t="str">
        <f t="shared" si="1"/>
        <v/>
      </c>
      <c r="N48" s="21"/>
      <c r="O48" s="21"/>
    </row>
    <row r="49" spans="1:15">
      <c r="A49" s="21"/>
      <c r="B49" s="21"/>
      <c r="C49" s="21"/>
      <c r="D49" s="8" t="str">
        <f>IF(C49="","",IFERROR(INDEX(标准答案!$C$6:$C$105,MATCH(C49,标准答案!$A$6:$A$105,0)),""))</f>
        <v/>
      </c>
      <c r="E49" s="8" t="str">
        <f>IF(C49="","",IFERROR(INDEX(标准答案!$E$6:$E$105,MATCH(C49,标准答案!$A$6:$A$105,0)),""))</f>
        <v/>
      </c>
      <c r="F49" s="8" t="str">
        <f>IF(C49="","",IFERROR(INDEX(标准答案!$D$6:$D$105,MATCH(C49,标准答案!$A$6:$A$105,0)),""))</f>
        <v/>
      </c>
      <c r="G49" s="21"/>
      <c r="H49" s="21"/>
      <c r="I49" s="26"/>
      <c r="J49" s="21"/>
      <c r="K49" s="21"/>
      <c r="L49" s="21"/>
      <c r="M49" s="8" t="str">
        <f t="shared" si="1"/>
        <v/>
      </c>
      <c r="N49" s="21"/>
      <c r="O49" s="21"/>
    </row>
    <row r="50" spans="1:15">
      <c r="A50" s="21"/>
      <c r="B50" s="21"/>
      <c r="C50" s="21"/>
      <c r="D50" s="8" t="str">
        <f>IF(C50="","",IFERROR(INDEX(标准答案!$C$6:$C$105,MATCH(C50,标准答案!$A$6:$A$105,0)),""))</f>
        <v/>
      </c>
      <c r="E50" s="8" t="str">
        <f>IF(C50="","",IFERROR(INDEX(标准答案!$E$6:$E$105,MATCH(C50,标准答案!$A$6:$A$105,0)),""))</f>
        <v/>
      </c>
      <c r="F50" s="8" t="str">
        <f>IF(C50="","",IFERROR(INDEX(标准答案!$D$6:$D$105,MATCH(C50,标准答案!$A$6:$A$105,0)),""))</f>
        <v/>
      </c>
      <c r="G50" s="21"/>
      <c r="H50" s="21"/>
      <c r="I50" s="26"/>
      <c r="J50" s="21"/>
      <c r="K50" s="21"/>
      <c r="L50" s="21"/>
      <c r="M50" s="8" t="str">
        <f t="shared" si="1"/>
        <v/>
      </c>
      <c r="N50" s="21"/>
      <c r="O50" s="21"/>
    </row>
    <row r="51" spans="1:15">
      <c r="A51" s="21"/>
      <c r="B51" s="21"/>
      <c r="C51" s="21"/>
      <c r="D51" s="8" t="str">
        <f>IF(C51="","",IFERROR(INDEX(标准答案!$C$6:$C$105,MATCH(C51,标准答案!$A$6:$A$105,0)),""))</f>
        <v/>
      </c>
      <c r="E51" s="8" t="str">
        <f>IF(C51="","",IFERROR(INDEX(标准答案!$E$6:$E$105,MATCH(C51,标准答案!$A$6:$A$105,0)),""))</f>
        <v/>
      </c>
      <c r="F51" s="8" t="str">
        <f>IF(C51="","",IFERROR(INDEX(标准答案!$D$6:$D$105,MATCH(C51,标准答案!$A$6:$A$105,0)),""))</f>
        <v/>
      </c>
      <c r="G51" s="21"/>
      <c r="H51" s="21"/>
      <c r="I51" s="26"/>
      <c r="J51" s="21"/>
      <c r="K51" s="21"/>
      <c r="L51" s="21"/>
      <c r="M51" s="8" t="str">
        <f t="shared" si="1"/>
        <v/>
      </c>
      <c r="N51" s="21"/>
      <c r="O51" s="21"/>
    </row>
    <row r="52" spans="1:15">
      <c r="A52" s="21"/>
      <c r="B52" s="21"/>
      <c r="C52" s="21"/>
      <c r="D52" s="8" t="str">
        <f>IF(C52="","",IFERROR(INDEX(标准答案!$C$6:$C$105,MATCH(C52,标准答案!$A$6:$A$105,0)),""))</f>
        <v/>
      </c>
      <c r="E52" s="8" t="str">
        <f>IF(C52="","",IFERROR(INDEX(标准答案!$E$6:$E$105,MATCH(C52,标准答案!$A$6:$A$105,0)),""))</f>
        <v/>
      </c>
      <c r="F52" s="8" t="str">
        <f>IF(C52="","",IFERROR(INDEX(标准答案!$D$6:$D$105,MATCH(C52,标准答案!$A$6:$A$105,0)),""))</f>
        <v/>
      </c>
      <c r="G52" s="21"/>
      <c r="H52" s="21"/>
      <c r="I52" s="26"/>
      <c r="J52" s="21"/>
      <c r="K52" s="21"/>
      <c r="L52" s="21"/>
      <c r="M52" s="8" t="str">
        <f t="shared" si="1"/>
        <v/>
      </c>
      <c r="N52" s="21"/>
      <c r="O52" s="21"/>
    </row>
    <row r="53" spans="1:15">
      <c r="A53" s="21"/>
      <c r="B53" s="21"/>
      <c r="C53" s="21"/>
      <c r="D53" s="8" t="str">
        <f>IF(C53="","",IFERROR(INDEX(标准答案!$C$6:$C$105,MATCH(C53,标准答案!$A$6:$A$105,0)),""))</f>
        <v/>
      </c>
      <c r="E53" s="8" t="str">
        <f>IF(C53="","",IFERROR(INDEX(标准答案!$E$6:$E$105,MATCH(C53,标准答案!$A$6:$A$105,0)),""))</f>
        <v/>
      </c>
      <c r="F53" s="8" t="str">
        <f>IF(C53="","",IFERROR(INDEX(标准答案!$D$6:$D$105,MATCH(C53,标准答案!$A$6:$A$105,0)),""))</f>
        <v/>
      </c>
      <c r="G53" s="21"/>
      <c r="H53" s="21"/>
      <c r="I53" s="26"/>
      <c r="J53" s="21"/>
      <c r="K53" s="21"/>
      <c r="L53" s="21"/>
      <c r="M53" s="8" t="str">
        <f t="shared" si="1"/>
        <v/>
      </c>
      <c r="N53" s="21"/>
      <c r="O53" s="21"/>
    </row>
    <row r="54" spans="1:15">
      <c r="A54" s="21"/>
      <c r="B54" s="21"/>
      <c r="C54" s="21"/>
      <c r="D54" s="8" t="str">
        <f>IF(C54="","",IFERROR(INDEX(标准答案!$C$6:$C$105,MATCH(C54,标准答案!$A$6:$A$105,0)),""))</f>
        <v/>
      </c>
      <c r="E54" s="8" t="str">
        <f>IF(C54="","",IFERROR(INDEX(标准答案!$E$6:$E$105,MATCH(C54,标准答案!$A$6:$A$105,0)),""))</f>
        <v/>
      </c>
      <c r="F54" s="8" t="str">
        <f>IF(C54="","",IFERROR(INDEX(标准答案!$D$6:$D$105,MATCH(C54,标准答案!$A$6:$A$105,0)),""))</f>
        <v/>
      </c>
      <c r="G54" s="21"/>
      <c r="H54" s="21"/>
      <c r="I54" s="26"/>
      <c r="J54" s="21"/>
      <c r="K54" s="21"/>
      <c r="L54" s="21"/>
      <c r="M54" s="8" t="str">
        <f t="shared" si="1"/>
        <v/>
      </c>
      <c r="N54" s="21"/>
      <c r="O54" s="21"/>
    </row>
    <row r="55" spans="1:15">
      <c r="A55" s="21"/>
      <c r="B55" s="21"/>
      <c r="C55" s="21"/>
      <c r="D55" s="8" t="str">
        <f>IF(C55="","",IFERROR(INDEX(标准答案!$C$6:$C$105,MATCH(C55,标准答案!$A$6:$A$105,0)),""))</f>
        <v/>
      </c>
      <c r="E55" s="8" t="str">
        <f>IF(C55="","",IFERROR(INDEX(标准答案!$E$6:$E$105,MATCH(C55,标准答案!$A$6:$A$105,0)),""))</f>
        <v/>
      </c>
      <c r="F55" s="8" t="str">
        <f>IF(C55="","",IFERROR(INDEX(标准答案!$D$6:$D$105,MATCH(C55,标准答案!$A$6:$A$105,0)),""))</f>
        <v/>
      </c>
      <c r="G55" s="21"/>
      <c r="H55" s="21"/>
      <c r="I55" s="26"/>
      <c r="J55" s="21"/>
      <c r="K55" s="21"/>
      <c r="L55" s="21"/>
      <c r="M55" s="8" t="str">
        <f t="shared" si="1"/>
        <v/>
      </c>
      <c r="N55" s="21"/>
      <c r="O55" s="21"/>
    </row>
    <row r="56" spans="1:15">
      <c r="A56" s="21"/>
      <c r="B56" s="21"/>
      <c r="C56" s="21"/>
      <c r="D56" s="8" t="str">
        <f>IF(C56="","",IFERROR(INDEX(标准答案!$C$6:$C$105,MATCH(C56,标准答案!$A$6:$A$105,0)),""))</f>
        <v/>
      </c>
      <c r="E56" s="8" t="str">
        <f>IF(C56="","",IFERROR(INDEX(标准答案!$E$6:$E$105,MATCH(C56,标准答案!$A$6:$A$105,0)),""))</f>
        <v/>
      </c>
      <c r="F56" s="8" t="str">
        <f>IF(C56="","",IFERROR(INDEX(标准答案!$D$6:$D$105,MATCH(C56,标准答案!$A$6:$A$105,0)),""))</f>
        <v/>
      </c>
      <c r="G56" s="21"/>
      <c r="H56" s="21"/>
      <c r="I56" s="26"/>
      <c r="J56" s="21"/>
      <c r="K56" s="21"/>
      <c r="L56" s="21"/>
      <c r="M56" s="8" t="str">
        <f t="shared" si="1"/>
        <v/>
      </c>
      <c r="N56" s="21"/>
      <c r="O56" s="21"/>
    </row>
    <row r="57" spans="1:15">
      <c r="A57" s="21"/>
      <c r="B57" s="21"/>
      <c r="C57" s="21"/>
      <c r="D57" s="8" t="str">
        <f>IF(C57="","",IFERROR(INDEX(标准答案!$C$6:$C$105,MATCH(C57,标准答案!$A$6:$A$105,0)),""))</f>
        <v/>
      </c>
      <c r="E57" s="8" t="str">
        <f>IF(C57="","",IFERROR(INDEX(标准答案!$E$6:$E$105,MATCH(C57,标准答案!$A$6:$A$105,0)),""))</f>
        <v/>
      </c>
      <c r="F57" s="8" t="str">
        <f>IF(C57="","",IFERROR(INDEX(标准答案!$D$6:$D$105,MATCH(C57,标准答案!$A$6:$A$105,0)),""))</f>
        <v/>
      </c>
      <c r="G57" s="21"/>
      <c r="H57" s="21"/>
      <c r="I57" s="26"/>
      <c r="J57" s="21"/>
      <c r="K57" s="21"/>
      <c r="L57" s="21"/>
      <c r="M57" s="8" t="str">
        <f t="shared" si="1"/>
        <v/>
      </c>
      <c r="N57" s="21"/>
      <c r="O57" s="21"/>
    </row>
    <row r="58" spans="1:15">
      <c r="A58" s="21"/>
      <c r="B58" s="21"/>
      <c r="C58" s="21"/>
      <c r="D58" s="8" t="str">
        <f>IF(C58="","",IFERROR(INDEX(标准答案!$C$6:$C$105,MATCH(C58,标准答案!$A$6:$A$105,0)),""))</f>
        <v/>
      </c>
      <c r="E58" s="8" t="str">
        <f>IF(C58="","",IFERROR(INDEX(标准答案!$E$6:$E$105,MATCH(C58,标准答案!$A$6:$A$105,0)),""))</f>
        <v/>
      </c>
      <c r="F58" s="8" t="str">
        <f>IF(C58="","",IFERROR(INDEX(标准答案!$D$6:$D$105,MATCH(C58,标准答案!$A$6:$A$105,0)),""))</f>
        <v/>
      </c>
      <c r="G58" s="21"/>
      <c r="H58" s="21"/>
      <c r="I58" s="26"/>
      <c r="J58" s="21"/>
      <c r="K58" s="21"/>
      <c r="L58" s="21"/>
      <c r="M58" s="8" t="str">
        <f t="shared" si="1"/>
        <v/>
      </c>
      <c r="N58" s="21"/>
      <c r="O58" s="21"/>
    </row>
    <row r="59" spans="1:15">
      <c r="A59" s="21"/>
      <c r="B59" s="21"/>
      <c r="C59" s="21"/>
      <c r="D59" s="8" t="str">
        <f>IF(C59="","",IFERROR(INDEX(标准答案!$C$6:$C$105,MATCH(C59,标准答案!$A$6:$A$105,0)),""))</f>
        <v/>
      </c>
      <c r="E59" s="8" t="str">
        <f>IF(C59="","",IFERROR(INDEX(标准答案!$E$6:$E$105,MATCH(C59,标准答案!$A$6:$A$105,0)),""))</f>
        <v/>
      </c>
      <c r="F59" s="8" t="str">
        <f>IF(C59="","",IFERROR(INDEX(标准答案!$D$6:$D$105,MATCH(C59,标准答案!$A$6:$A$105,0)),""))</f>
        <v/>
      </c>
      <c r="G59" s="21"/>
      <c r="H59" s="21"/>
      <c r="I59" s="26"/>
      <c r="J59" s="21"/>
      <c r="K59" s="21"/>
      <c r="L59" s="21"/>
      <c r="M59" s="8" t="str">
        <f t="shared" si="1"/>
        <v/>
      </c>
      <c r="N59" s="21"/>
      <c r="O59" s="21"/>
    </row>
    <row r="60" spans="1:15">
      <c r="A60" s="21"/>
      <c r="B60" s="21"/>
      <c r="C60" s="21"/>
      <c r="D60" s="8" t="str">
        <f>IF(C60="","",IFERROR(INDEX(标准答案!$C$6:$C$105,MATCH(C60,标准答案!$A$6:$A$105,0)),""))</f>
        <v/>
      </c>
      <c r="E60" s="8" t="str">
        <f>IF(C60="","",IFERROR(INDEX(标准答案!$E$6:$E$105,MATCH(C60,标准答案!$A$6:$A$105,0)),""))</f>
        <v/>
      </c>
      <c r="F60" s="8" t="str">
        <f>IF(C60="","",IFERROR(INDEX(标准答案!$D$6:$D$105,MATCH(C60,标准答案!$A$6:$A$105,0)),""))</f>
        <v/>
      </c>
      <c r="G60" s="21"/>
      <c r="H60" s="21"/>
      <c r="I60" s="26"/>
      <c r="J60" s="21"/>
      <c r="K60" s="21"/>
      <c r="L60" s="21"/>
      <c r="M60" s="8" t="str">
        <f t="shared" si="1"/>
        <v/>
      </c>
      <c r="N60" s="21"/>
      <c r="O60" s="21"/>
    </row>
    <row r="61" spans="1:15">
      <c r="A61" s="21"/>
      <c r="B61" s="21"/>
      <c r="C61" s="21"/>
      <c r="D61" s="8" t="str">
        <f>IF(C61="","",IFERROR(INDEX(标准答案!$C$6:$C$105,MATCH(C61,标准答案!$A$6:$A$105,0)),""))</f>
        <v/>
      </c>
      <c r="E61" s="8" t="str">
        <f>IF(C61="","",IFERROR(INDEX(标准答案!$E$6:$E$105,MATCH(C61,标准答案!$A$6:$A$105,0)),""))</f>
        <v/>
      </c>
      <c r="F61" s="8" t="str">
        <f>IF(C61="","",IFERROR(INDEX(标准答案!$D$6:$D$105,MATCH(C61,标准答案!$A$6:$A$105,0)),""))</f>
        <v/>
      </c>
      <c r="G61" s="21"/>
      <c r="H61" s="21"/>
      <c r="I61" s="26"/>
      <c r="J61" s="21"/>
      <c r="K61" s="21"/>
      <c r="L61" s="21"/>
      <c r="M61" s="8" t="str">
        <f t="shared" si="1"/>
        <v/>
      </c>
      <c r="N61" s="21"/>
      <c r="O61" s="21"/>
    </row>
    <row r="62" spans="1:15">
      <c r="A62" s="21"/>
      <c r="B62" s="21"/>
      <c r="C62" s="21"/>
      <c r="D62" s="8" t="str">
        <f>IF(C62="","",IFERROR(INDEX(标准答案!$C$6:$C$105,MATCH(C62,标准答案!$A$6:$A$105,0)),""))</f>
        <v/>
      </c>
      <c r="E62" s="8" t="str">
        <f>IF(C62="","",IFERROR(INDEX(标准答案!$E$6:$E$105,MATCH(C62,标准答案!$A$6:$A$105,0)),""))</f>
        <v/>
      </c>
      <c r="F62" s="8" t="str">
        <f>IF(C62="","",IFERROR(INDEX(标准答案!$D$6:$D$105,MATCH(C62,标准答案!$A$6:$A$105,0)),""))</f>
        <v/>
      </c>
      <c r="G62" s="21"/>
      <c r="H62" s="21"/>
      <c r="I62" s="26"/>
      <c r="J62" s="21"/>
      <c r="K62" s="21"/>
      <c r="L62" s="21"/>
      <c r="M62" s="8" t="str">
        <f t="shared" si="1"/>
        <v/>
      </c>
      <c r="N62" s="21"/>
      <c r="O62" s="21"/>
    </row>
    <row r="63" spans="1:15">
      <c r="A63" s="21"/>
      <c r="B63" s="21"/>
      <c r="C63" s="21"/>
      <c r="D63" s="8" t="str">
        <f>IF(C63="","",IFERROR(INDEX(标准答案!$C$6:$C$105,MATCH(C63,标准答案!$A$6:$A$105,0)),""))</f>
        <v/>
      </c>
      <c r="E63" s="8" t="str">
        <f>IF(C63="","",IFERROR(INDEX(标准答案!$E$6:$E$105,MATCH(C63,标准答案!$A$6:$A$105,0)),""))</f>
        <v/>
      </c>
      <c r="F63" s="8" t="str">
        <f>IF(C63="","",IFERROR(INDEX(标准答案!$D$6:$D$105,MATCH(C63,标准答案!$A$6:$A$105,0)),""))</f>
        <v/>
      </c>
      <c r="G63" s="21"/>
      <c r="H63" s="21"/>
      <c r="I63" s="26"/>
      <c r="J63" s="21"/>
      <c r="K63" s="21"/>
      <c r="L63" s="21"/>
      <c r="M63" s="8" t="str">
        <f t="shared" si="1"/>
        <v/>
      </c>
      <c r="N63" s="21"/>
      <c r="O63" s="21"/>
    </row>
    <row r="64" spans="1:15">
      <c r="A64" s="21"/>
      <c r="B64" s="21"/>
      <c r="C64" s="21"/>
      <c r="D64" s="8" t="str">
        <f>IF(C64="","",IFERROR(INDEX(标准答案!$C$6:$C$105,MATCH(C64,标准答案!$A$6:$A$105,0)),""))</f>
        <v/>
      </c>
      <c r="E64" s="8" t="str">
        <f>IF(C64="","",IFERROR(INDEX(标准答案!$E$6:$E$105,MATCH(C64,标准答案!$A$6:$A$105,0)),""))</f>
        <v/>
      </c>
      <c r="F64" s="8" t="str">
        <f>IF(C64="","",IFERROR(INDEX(标准答案!$D$6:$D$105,MATCH(C64,标准答案!$A$6:$A$105,0)),""))</f>
        <v/>
      </c>
      <c r="G64" s="21"/>
      <c r="H64" s="21"/>
      <c r="I64" s="26"/>
      <c r="J64" s="21"/>
      <c r="K64" s="21"/>
      <c r="L64" s="21"/>
      <c r="M64" s="8" t="str">
        <f t="shared" si="1"/>
        <v/>
      </c>
      <c r="N64" s="21"/>
      <c r="O64" s="21"/>
    </row>
    <row r="65" spans="1:15">
      <c r="A65" s="21"/>
      <c r="B65" s="21"/>
      <c r="C65" s="21"/>
      <c r="D65" s="8" t="str">
        <f>IF(C65="","",IFERROR(INDEX(标准答案!$C$6:$C$105,MATCH(C65,标准答案!$A$6:$A$105,0)),""))</f>
        <v/>
      </c>
      <c r="E65" s="8" t="str">
        <f>IF(C65="","",IFERROR(INDEX(标准答案!$E$6:$E$105,MATCH(C65,标准答案!$A$6:$A$105,0)),""))</f>
        <v/>
      </c>
      <c r="F65" s="8" t="str">
        <f>IF(C65="","",IFERROR(INDEX(标准答案!$D$6:$D$105,MATCH(C65,标准答案!$A$6:$A$105,0)),""))</f>
        <v/>
      </c>
      <c r="G65" s="21"/>
      <c r="H65" s="21"/>
      <c r="I65" s="26"/>
      <c r="J65" s="21"/>
      <c r="K65" s="21"/>
      <c r="L65" s="21"/>
      <c r="M65" s="8" t="str">
        <f t="shared" si="1"/>
        <v/>
      </c>
      <c r="N65" s="21"/>
      <c r="O65" s="21"/>
    </row>
    <row r="66" spans="1:15">
      <c r="A66" s="21"/>
      <c r="B66" s="21"/>
      <c r="C66" s="21"/>
      <c r="D66" s="8" t="str">
        <f>IF(C66="","",IFERROR(INDEX(标准答案!$C$6:$C$105,MATCH(C66,标准答案!$A$6:$A$105,0)),""))</f>
        <v/>
      </c>
      <c r="E66" s="8" t="str">
        <f>IF(C66="","",IFERROR(INDEX(标准答案!$E$6:$E$105,MATCH(C66,标准答案!$A$6:$A$105,0)),""))</f>
        <v/>
      </c>
      <c r="F66" s="8" t="str">
        <f>IF(C66="","",IFERROR(INDEX(标准答案!$D$6:$D$105,MATCH(C66,标准答案!$A$6:$A$105,0)),""))</f>
        <v/>
      </c>
      <c r="G66" s="21"/>
      <c r="H66" s="21"/>
      <c r="I66" s="26"/>
      <c r="J66" s="21"/>
      <c r="K66" s="21"/>
      <c r="L66" s="21"/>
      <c r="M66" s="8" t="str">
        <f t="shared" si="1"/>
        <v/>
      </c>
      <c r="N66" s="21"/>
      <c r="O66" s="21"/>
    </row>
    <row r="67" spans="1:15">
      <c r="A67" s="21"/>
      <c r="B67" s="21"/>
      <c r="C67" s="21"/>
      <c r="D67" s="8" t="str">
        <f>IF(C67="","",IFERROR(INDEX(标准答案!$C$6:$C$105,MATCH(C67,标准答案!$A$6:$A$105,0)),""))</f>
        <v/>
      </c>
      <c r="E67" s="8" t="str">
        <f>IF(C67="","",IFERROR(INDEX(标准答案!$E$6:$E$105,MATCH(C67,标准答案!$A$6:$A$105,0)),""))</f>
        <v/>
      </c>
      <c r="F67" s="8" t="str">
        <f>IF(C67="","",IFERROR(INDEX(标准答案!$D$6:$D$105,MATCH(C67,标准答案!$A$6:$A$105,0)),""))</f>
        <v/>
      </c>
      <c r="G67" s="21"/>
      <c r="H67" s="21"/>
      <c r="I67" s="26"/>
      <c r="J67" s="21"/>
      <c r="K67" s="21"/>
      <c r="L67" s="21"/>
      <c r="M67" s="8" t="str">
        <f t="shared" si="1"/>
        <v/>
      </c>
      <c r="N67" s="21"/>
      <c r="O67" s="21"/>
    </row>
    <row r="68" spans="1:15">
      <c r="A68" s="21"/>
      <c r="B68" s="21"/>
      <c r="C68" s="21"/>
      <c r="D68" s="8" t="str">
        <f>IF(C68="","",IFERROR(INDEX(标准答案!$C$6:$C$105,MATCH(C68,标准答案!$A$6:$A$105,0)),""))</f>
        <v/>
      </c>
      <c r="E68" s="8" t="str">
        <f>IF(C68="","",IFERROR(INDEX(标准答案!$E$6:$E$105,MATCH(C68,标准答案!$A$6:$A$105,0)),""))</f>
        <v/>
      </c>
      <c r="F68" s="8" t="str">
        <f>IF(C68="","",IFERROR(INDEX(标准答案!$D$6:$D$105,MATCH(C68,标准答案!$A$6:$A$105,0)),""))</f>
        <v/>
      </c>
      <c r="G68" s="21"/>
      <c r="H68" s="21"/>
      <c r="I68" s="26"/>
      <c r="J68" s="21"/>
      <c r="K68" s="21"/>
      <c r="L68" s="21"/>
      <c r="M68" s="8" t="str">
        <f t="shared" si="1"/>
        <v/>
      </c>
      <c r="N68" s="21"/>
      <c r="O68" s="21"/>
    </row>
    <row r="69" spans="1:15">
      <c r="A69" s="21"/>
      <c r="B69" s="21"/>
      <c r="C69" s="21"/>
      <c r="D69" s="8" t="str">
        <f>IF(C69="","",IFERROR(INDEX(标准答案!$C$6:$C$105,MATCH(C69,标准答案!$A$6:$A$105,0)),""))</f>
        <v/>
      </c>
      <c r="E69" s="8" t="str">
        <f>IF(C69="","",IFERROR(INDEX(标准答案!$E$6:$E$105,MATCH(C69,标准答案!$A$6:$A$105,0)),""))</f>
        <v/>
      </c>
      <c r="F69" s="8" t="str">
        <f>IF(C69="","",IFERROR(INDEX(标准答案!$D$6:$D$105,MATCH(C69,标准答案!$A$6:$A$105,0)),""))</f>
        <v/>
      </c>
      <c r="G69" s="21"/>
      <c r="H69" s="21"/>
      <c r="I69" s="26"/>
      <c r="J69" s="21"/>
      <c r="K69" s="21"/>
      <c r="L69" s="21"/>
      <c r="M69" s="8" t="str">
        <f t="shared" si="1"/>
        <v/>
      </c>
      <c r="N69" s="21"/>
      <c r="O69" s="21"/>
    </row>
    <row r="70" spans="1:15">
      <c r="A70" s="21"/>
      <c r="B70" s="21"/>
      <c r="C70" s="21"/>
      <c r="D70" s="8" t="str">
        <f>IF(C70="","",IFERROR(INDEX(标准答案!$C$6:$C$105,MATCH(C70,标准答案!$A$6:$A$105,0)),""))</f>
        <v/>
      </c>
      <c r="E70" s="8" t="str">
        <f>IF(C70="","",IFERROR(INDEX(标准答案!$E$6:$E$105,MATCH(C70,标准答案!$A$6:$A$105,0)),""))</f>
        <v/>
      </c>
      <c r="F70" s="8" t="str">
        <f>IF(C70="","",IFERROR(INDEX(标准答案!$D$6:$D$105,MATCH(C70,标准答案!$A$6:$A$105,0)),""))</f>
        <v/>
      </c>
      <c r="G70" s="21"/>
      <c r="H70" s="21"/>
      <c r="I70" s="26"/>
      <c r="J70" s="21"/>
      <c r="K70" s="21"/>
      <c r="L70" s="21"/>
      <c r="M70" s="8" t="str">
        <f t="shared" ref="M70:M105" si="2">IF(OR(A70="",B70=""),"",IF(AND(C70="",H70&lt;&gt;""),"FP",IF(AND(C70&lt;&gt;"",H70=""),"FN",IF(F70&lt;&gt;H70,"VALUE_ERROR",IF(F70&lt;&gt;"Published","TP",IF(UPPER(TRIM(E70))=UPPER(TRIM(G70)),"TP","VALUE_ERROR"))))))</f>
        <v/>
      </c>
      <c r="N70" s="21"/>
      <c r="O70" s="21"/>
    </row>
    <row r="71" spans="1:15">
      <c r="A71" s="21"/>
      <c r="B71" s="21"/>
      <c r="C71" s="21"/>
      <c r="D71" s="8" t="str">
        <f>IF(C71="","",IFERROR(INDEX(标准答案!$C$6:$C$105,MATCH(C71,标准答案!$A$6:$A$105,0)),""))</f>
        <v/>
      </c>
      <c r="E71" s="8" t="str">
        <f>IF(C71="","",IFERROR(INDEX(标准答案!$E$6:$E$105,MATCH(C71,标准答案!$A$6:$A$105,0)),""))</f>
        <v/>
      </c>
      <c r="F71" s="8" t="str">
        <f>IF(C71="","",IFERROR(INDEX(标准答案!$D$6:$D$105,MATCH(C71,标准答案!$A$6:$A$105,0)),""))</f>
        <v/>
      </c>
      <c r="G71" s="21"/>
      <c r="H71" s="21"/>
      <c r="I71" s="26"/>
      <c r="J71" s="21"/>
      <c r="K71" s="21"/>
      <c r="L71" s="21"/>
      <c r="M71" s="8" t="str">
        <f t="shared" si="2"/>
        <v/>
      </c>
      <c r="N71" s="21"/>
      <c r="O71" s="21"/>
    </row>
    <row r="72" spans="1:15">
      <c r="A72" s="21"/>
      <c r="B72" s="21"/>
      <c r="C72" s="21"/>
      <c r="D72" s="8" t="str">
        <f>IF(C72="","",IFERROR(INDEX(标准答案!$C$6:$C$105,MATCH(C72,标准答案!$A$6:$A$105,0)),""))</f>
        <v/>
      </c>
      <c r="E72" s="8" t="str">
        <f>IF(C72="","",IFERROR(INDEX(标准答案!$E$6:$E$105,MATCH(C72,标准答案!$A$6:$A$105,0)),""))</f>
        <v/>
      </c>
      <c r="F72" s="8" t="str">
        <f>IF(C72="","",IFERROR(INDEX(标准答案!$D$6:$D$105,MATCH(C72,标准答案!$A$6:$A$105,0)),""))</f>
        <v/>
      </c>
      <c r="G72" s="21"/>
      <c r="H72" s="21"/>
      <c r="I72" s="26"/>
      <c r="J72" s="21"/>
      <c r="K72" s="21"/>
      <c r="L72" s="21"/>
      <c r="M72" s="8" t="str">
        <f t="shared" si="2"/>
        <v/>
      </c>
      <c r="N72" s="21"/>
      <c r="O72" s="21"/>
    </row>
    <row r="73" spans="1:15">
      <c r="A73" s="21"/>
      <c r="B73" s="21"/>
      <c r="C73" s="21"/>
      <c r="D73" s="8" t="str">
        <f>IF(C73="","",IFERROR(INDEX(标准答案!$C$6:$C$105,MATCH(C73,标准答案!$A$6:$A$105,0)),""))</f>
        <v/>
      </c>
      <c r="E73" s="8" t="str">
        <f>IF(C73="","",IFERROR(INDEX(标准答案!$E$6:$E$105,MATCH(C73,标准答案!$A$6:$A$105,0)),""))</f>
        <v/>
      </c>
      <c r="F73" s="8" t="str">
        <f>IF(C73="","",IFERROR(INDEX(标准答案!$D$6:$D$105,MATCH(C73,标准答案!$A$6:$A$105,0)),""))</f>
        <v/>
      </c>
      <c r="G73" s="21"/>
      <c r="H73" s="21"/>
      <c r="I73" s="26"/>
      <c r="J73" s="21"/>
      <c r="K73" s="21"/>
      <c r="L73" s="21"/>
      <c r="M73" s="8" t="str">
        <f t="shared" si="2"/>
        <v/>
      </c>
      <c r="N73" s="21"/>
      <c r="O73" s="21"/>
    </row>
    <row r="74" spans="1:15">
      <c r="A74" s="21"/>
      <c r="B74" s="21"/>
      <c r="C74" s="21"/>
      <c r="D74" s="8" t="str">
        <f>IF(C74="","",IFERROR(INDEX(标准答案!$C$6:$C$105,MATCH(C74,标准答案!$A$6:$A$105,0)),""))</f>
        <v/>
      </c>
      <c r="E74" s="8" t="str">
        <f>IF(C74="","",IFERROR(INDEX(标准答案!$E$6:$E$105,MATCH(C74,标准答案!$A$6:$A$105,0)),""))</f>
        <v/>
      </c>
      <c r="F74" s="8" t="str">
        <f>IF(C74="","",IFERROR(INDEX(标准答案!$D$6:$D$105,MATCH(C74,标准答案!$A$6:$A$105,0)),""))</f>
        <v/>
      </c>
      <c r="G74" s="21"/>
      <c r="H74" s="21"/>
      <c r="I74" s="26"/>
      <c r="J74" s="21"/>
      <c r="K74" s="21"/>
      <c r="L74" s="21"/>
      <c r="M74" s="8" t="str">
        <f t="shared" si="2"/>
        <v/>
      </c>
      <c r="N74" s="21"/>
      <c r="O74" s="21"/>
    </row>
    <row r="75" spans="1:15">
      <c r="A75" s="21"/>
      <c r="B75" s="21"/>
      <c r="C75" s="21"/>
      <c r="D75" s="8" t="str">
        <f>IF(C75="","",IFERROR(INDEX(标准答案!$C$6:$C$105,MATCH(C75,标准答案!$A$6:$A$105,0)),""))</f>
        <v/>
      </c>
      <c r="E75" s="8" t="str">
        <f>IF(C75="","",IFERROR(INDEX(标准答案!$E$6:$E$105,MATCH(C75,标准答案!$A$6:$A$105,0)),""))</f>
        <v/>
      </c>
      <c r="F75" s="8" t="str">
        <f>IF(C75="","",IFERROR(INDEX(标准答案!$D$6:$D$105,MATCH(C75,标准答案!$A$6:$A$105,0)),""))</f>
        <v/>
      </c>
      <c r="G75" s="21"/>
      <c r="H75" s="21"/>
      <c r="I75" s="26"/>
      <c r="J75" s="21"/>
      <c r="K75" s="21"/>
      <c r="L75" s="21"/>
      <c r="M75" s="8" t="str">
        <f t="shared" si="2"/>
        <v/>
      </c>
      <c r="N75" s="21"/>
      <c r="O75" s="21"/>
    </row>
    <row r="76" spans="1:15">
      <c r="A76" s="21"/>
      <c r="B76" s="21"/>
      <c r="C76" s="21"/>
      <c r="D76" s="8" t="str">
        <f>IF(C76="","",IFERROR(INDEX(标准答案!$C$6:$C$105,MATCH(C76,标准答案!$A$6:$A$105,0)),""))</f>
        <v/>
      </c>
      <c r="E76" s="8" t="str">
        <f>IF(C76="","",IFERROR(INDEX(标准答案!$E$6:$E$105,MATCH(C76,标准答案!$A$6:$A$105,0)),""))</f>
        <v/>
      </c>
      <c r="F76" s="8" t="str">
        <f>IF(C76="","",IFERROR(INDEX(标准答案!$D$6:$D$105,MATCH(C76,标准答案!$A$6:$A$105,0)),""))</f>
        <v/>
      </c>
      <c r="G76" s="21"/>
      <c r="H76" s="21"/>
      <c r="I76" s="26"/>
      <c r="J76" s="21"/>
      <c r="K76" s="21"/>
      <c r="L76" s="21"/>
      <c r="M76" s="8" t="str">
        <f t="shared" si="2"/>
        <v/>
      </c>
      <c r="N76" s="21"/>
      <c r="O76" s="21"/>
    </row>
    <row r="77" spans="1:15">
      <c r="A77" s="21"/>
      <c r="B77" s="21"/>
      <c r="C77" s="21"/>
      <c r="D77" s="8" t="str">
        <f>IF(C77="","",IFERROR(INDEX(标准答案!$C$6:$C$105,MATCH(C77,标准答案!$A$6:$A$105,0)),""))</f>
        <v/>
      </c>
      <c r="E77" s="8" t="str">
        <f>IF(C77="","",IFERROR(INDEX(标准答案!$E$6:$E$105,MATCH(C77,标准答案!$A$6:$A$105,0)),""))</f>
        <v/>
      </c>
      <c r="F77" s="8" t="str">
        <f>IF(C77="","",IFERROR(INDEX(标准答案!$D$6:$D$105,MATCH(C77,标准答案!$A$6:$A$105,0)),""))</f>
        <v/>
      </c>
      <c r="G77" s="21"/>
      <c r="H77" s="21"/>
      <c r="I77" s="26"/>
      <c r="J77" s="21"/>
      <c r="K77" s="21"/>
      <c r="L77" s="21"/>
      <c r="M77" s="8" t="str">
        <f t="shared" si="2"/>
        <v/>
      </c>
      <c r="N77" s="21"/>
      <c r="O77" s="21"/>
    </row>
    <row r="78" spans="1:15">
      <c r="A78" s="21"/>
      <c r="B78" s="21"/>
      <c r="C78" s="21"/>
      <c r="D78" s="8" t="str">
        <f>IF(C78="","",IFERROR(INDEX(标准答案!$C$6:$C$105,MATCH(C78,标准答案!$A$6:$A$105,0)),""))</f>
        <v/>
      </c>
      <c r="E78" s="8" t="str">
        <f>IF(C78="","",IFERROR(INDEX(标准答案!$E$6:$E$105,MATCH(C78,标准答案!$A$6:$A$105,0)),""))</f>
        <v/>
      </c>
      <c r="F78" s="8" t="str">
        <f>IF(C78="","",IFERROR(INDEX(标准答案!$D$6:$D$105,MATCH(C78,标准答案!$A$6:$A$105,0)),""))</f>
        <v/>
      </c>
      <c r="G78" s="21"/>
      <c r="H78" s="21"/>
      <c r="I78" s="26"/>
      <c r="J78" s="21"/>
      <c r="K78" s="21"/>
      <c r="L78" s="21"/>
      <c r="M78" s="8" t="str">
        <f t="shared" si="2"/>
        <v/>
      </c>
      <c r="N78" s="21"/>
      <c r="O78" s="21"/>
    </row>
    <row r="79" spans="1:15">
      <c r="A79" s="21"/>
      <c r="B79" s="21"/>
      <c r="C79" s="21"/>
      <c r="D79" s="8" t="str">
        <f>IF(C79="","",IFERROR(INDEX(标准答案!$C$6:$C$105,MATCH(C79,标准答案!$A$6:$A$105,0)),""))</f>
        <v/>
      </c>
      <c r="E79" s="8" t="str">
        <f>IF(C79="","",IFERROR(INDEX(标准答案!$E$6:$E$105,MATCH(C79,标准答案!$A$6:$A$105,0)),""))</f>
        <v/>
      </c>
      <c r="F79" s="8" t="str">
        <f>IF(C79="","",IFERROR(INDEX(标准答案!$D$6:$D$105,MATCH(C79,标准答案!$A$6:$A$105,0)),""))</f>
        <v/>
      </c>
      <c r="G79" s="21"/>
      <c r="H79" s="21"/>
      <c r="I79" s="26"/>
      <c r="J79" s="21"/>
      <c r="K79" s="21"/>
      <c r="L79" s="21"/>
      <c r="M79" s="8" t="str">
        <f t="shared" si="2"/>
        <v/>
      </c>
      <c r="N79" s="21"/>
      <c r="O79" s="21"/>
    </row>
    <row r="80" spans="1:15">
      <c r="A80" s="21"/>
      <c r="B80" s="21"/>
      <c r="C80" s="21"/>
      <c r="D80" s="8" t="str">
        <f>IF(C80="","",IFERROR(INDEX(标准答案!$C$6:$C$105,MATCH(C80,标准答案!$A$6:$A$105,0)),""))</f>
        <v/>
      </c>
      <c r="E80" s="8" t="str">
        <f>IF(C80="","",IFERROR(INDEX(标准答案!$E$6:$E$105,MATCH(C80,标准答案!$A$6:$A$105,0)),""))</f>
        <v/>
      </c>
      <c r="F80" s="8" t="str">
        <f>IF(C80="","",IFERROR(INDEX(标准答案!$D$6:$D$105,MATCH(C80,标准答案!$A$6:$A$105,0)),""))</f>
        <v/>
      </c>
      <c r="G80" s="21"/>
      <c r="H80" s="21"/>
      <c r="I80" s="26"/>
      <c r="J80" s="21"/>
      <c r="K80" s="21"/>
      <c r="L80" s="21"/>
      <c r="M80" s="8" t="str">
        <f t="shared" si="2"/>
        <v/>
      </c>
      <c r="N80" s="21"/>
      <c r="O80" s="21"/>
    </row>
    <row r="81" spans="1:15">
      <c r="A81" s="21"/>
      <c r="B81" s="21"/>
      <c r="C81" s="21"/>
      <c r="D81" s="8" t="str">
        <f>IF(C81="","",IFERROR(INDEX(标准答案!$C$6:$C$105,MATCH(C81,标准答案!$A$6:$A$105,0)),""))</f>
        <v/>
      </c>
      <c r="E81" s="8" t="str">
        <f>IF(C81="","",IFERROR(INDEX(标准答案!$E$6:$E$105,MATCH(C81,标准答案!$A$6:$A$105,0)),""))</f>
        <v/>
      </c>
      <c r="F81" s="8" t="str">
        <f>IF(C81="","",IFERROR(INDEX(标准答案!$D$6:$D$105,MATCH(C81,标准答案!$A$6:$A$105,0)),""))</f>
        <v/>
      </c>
      <c r="G81" s="21"/>
      <c r="H81" s="21"/>
      <c r="I81" s="26"/>
      <c r="J81" s="21"/>
      <c r="K81" s="21"/>
      <c r="L81" s="21"/>
      <c r="M81" s="8" t="str">
        <f t="shared" si="2"/>
        <v/>
      </c>
      <c r="N81" s="21"/>
      <c r="O81" s="21"/>
    </row>
    <row r="82" spans="1:15">
      <c r="A82" s="21"/>
      <c r="B82" s="21"/>
      <c r="C82" s="21"/>
      <c r="D82" s="8" t="str">
        <f>IF(C82="","",IFERROR(INDEX(标准答案!$C$6:$C$105,MATCH(C82,标准答案!$A$6:$A$105,0)),""))</f>
        <v/>
      </c>
      <c r="E82" s="8" t="str">
        <f>IF(C82="","",IFERROR(INDEX(标准答案!$E$6:$E$105,MATCH(C82,标准答案!$A$6:$A$105,0)),""))</f>
        <v/>
      </c>
      <c r="F82" s="8" t="str">
        <f>IF(C82="","",IFERROR(INDEX(标准答案!$D$6:$D$105,MATCH(C82,标准答案!$A$6:$A$105,0)),""))</f>
        <v/>
      </c>
      <c r="G82" s="21"/>
      <c r="H82" s="21"/>
      <c r="I82" s="26"/>
      <c r="J82" s="21"/>
      <c r="K82" s="21"/>
      <c r="L82" s="21"/>
      <c r="M82" s="8" t="str">
        <f t="shared" si="2"/>
        <v/>
      </c>
      <c r="N82" s="21"/>
      <c r="O82" s="21"/>
    </row>
    <row r="83" spans="1:15">
      <c r="A83" s="21"/>
      <c r="B83" s="21"/>
      <c r="C83" s="21"/>
      <c r="D83" s="8" t="str">
        <f>IF(C83="","",IFERROR(INDEX(标准答案!$C$6:$C$105,MATCH(C83,标准答案!$A$6:$A$105,0)),""))</f>
        <v/>
      </c>
      <c r="E83" s="8" t="str">
        <f>IF(C83="","",IFERROR(INDEX(标准答案!$E$6:$E$105,MATCH(C83,标准答案!$A$6:$A$105,0)),""))</f>
        <v/>
      </c>
      <c r="F83" s="8" t="str">
        <f>IF(C83="","",IFERROR(INDEX(标准答案!$D$6:$D$105,MATCH(C83,标准答案!$A$6:$A$105,0)),""))</f>
        <v/>
      </c>
      <c r="G83" s="21"/>
      <c r="H83" s="21"/>
      <c r="I83" s="26"/>
      <c r="J83" s="21"/>
      <c r="K83" s="21"/>
      <c r="L83" s="21"/>
      <c r="M83" s="8" t="str">
        <f t="shared" si="2"/>
        <v/>
      </c>
      <c r="N83" s="21"/>
      <c r="O83" s="21"/>
    </row>
    <row r="84" spans="1:15">
      <c r="A84" s="21"/>
      <c r="B84" s="21"/>
      <c r="C84" s="21"/>
      <c r="D84" s="8" t="str">
        <f>IF(C84="","",IFERROR(INDEX(标准答案!$C$6:$C$105,MATCH(C84,标准答案!$A$6:$A$105,0)),""))</f>
        <v/>
      </c>
      <c r="E84" s="8" t="str">
        <f>IF(C84="","",IFERROR(INDEX(标准答案!$E$6:$E$105,MATCH(C84,标准答案!$A$6:$A$105,0)),""))</f>
        <v/>
      </c>
      <c r="F84" s="8" t="str">
        <f>IF(C84="","",IFERROR(INDEX(标准答案!$D$6:$D$105,MATCH(C84,标准答案!$A$6:$A$105,0)),""))</f>
        <v/>
      </c>
      <c r="G84" s="21"/>
      <c r="H84" s="21"/>
      <c r="I84" s="26"/>
      <c r="J84" s="21"/>
      <c r="K84" s="21"/>
      <c r="L84" s="21"/>
      <c r="M84" s="8" t="str">
        <f t="shared" si="2"/>
        <v/>
      </c>
      <c r="N84" s="21"/>
      <c r="O84" s="21"/>
    </row>
    <row r="85" spans="1:15">
      <c r="A85" s="21"/>
      <c r="B85" s="21"/>
      <c r="C85" s="21"/>
      <c r="D85" s="8" t="str">
        <f>IF(C85="","",IFERROR(INDEX(标准答案!$C$6:$C$105,MATCH(C85,标准答案!$A$6:$A$105,0)),""))</f>
        <v/>
      </c>
      <c r="E85" s="8" t="str">
        <f>IF(C85="","",IFERROR(INDEX(标准答案!$E$6:$E$105,MATCH(C85,标准答案!$A$6:$A$105,0)),""))</f>
        <v/>
      </c>
      <c r="F85" s="8" t="str">
        <f>IF(C85="","",IFERROR(INDEX(标准答案!$D$6:$D$105,MATCH(C85,标准答案!$A$6:$A$105,0)),""))</f>
        <v/>
      </c>
      <c r="G85" s="21"/>
      <c r="H85" s="21"/>
      <c r="I85" s="26"/>
      <c r="J85" s="21"/>
      <c r="K85" s="21"/>
      <c r="L85" s="21"/>
      <c r="M85" s="8" t="str">
        <f t="shared" si="2"/>
        <v/>
      </c>
      <c r="N85" s="21"/>
      <c r="O85" s="21"/>
    </row>
    <row r="86" spans="1:15">
      <c r="A86" s="21"/>
      <c r="B86" s="21"/>
      <c r="C86" s="21"/>
      <c r="D86" s="8" t="str">
        <f>IF(C86="","",IFERROR(INDEX(标准答案!$C$6:$C$105,MATCH(C86,标准答案!$A$6:$A$105,0)),""))</f>
        <v/>
      </c>
      <c r="E86" s="8" t="str">
        <f>IF(C86="","",IFERROR(INDEX(标准答案!$E$6:$E$105,MATCH(C86,标准答案!$A$6:$A$105,0)),""))</f>
        <v/>
      </c>
      <c r="F86" s="8" t="str">
        <f>IF(C86="","",IFERROR(INDEX(标准答案!$D$6:$D$105,MATCH(C86,标准答案!$A$6:$A$105,0)),""))</f>
        <v/>
      </c>
      <c r="G86" s="21"/>
      <c r="H86" s="21"/>
      <c r="I86" s="26"/>
      <c r="J86" s="21"/>
      <c r="K86" s="21"/>
      <c r="L86" s="21"/>
      <c r="M86" s="8" t="str">
        <f t="shared" si="2"/>
        <v/>
      </c>
      <c r="N86" s="21"/>
      <c r="O86" s="21"/>
    </row>
    <row r="87" spans="1:15">
      <c r="A87" s="21"/>
      <c r="B87" s="21"/>
      <c r="C87" s="21"/>
      <c r="D87" s="8" t="str">
        <f>IF(C87="","",IFERROR(INDEX(标准答案!$C$6:$C$105,MATCH(C87,标准答案!$A$6:$A$105,0)),""))</f>
        <v/>
      </c>
      <c r="E87" s="8" t="str">
        <f>IF(C87="","",IFERROR(INDEX(标准答案!$E$6:$E$105,MATCH(C87,标准答案!$A$6:$A$105,0)),""))</f>
        <v/>
      </c>
      <c r="F87" s="8" t="str">
        <f>IF(C87="","",IFERROR(INDEX(标准答案!$D$6:$D$105,MATCH(C87,标准答案!$A$6:$A$105,0)),""))</f>
        <v/>
      </c>
      <c r="G87" s="21"/>
      <c r="H87" s="21"/>
      <c r="I87" s="26"/>
      <c r="J87" s="21"/>
      <c r="K87" s="21"/>
      <c r="L87" s="21"/>
      <c r="M87" s="8" t="str">
        <f t="shared" si="2"/>
        <v/>
      </c>
      <c r="N87" s="21"/>
      <c r="O87" s="21"/>
    </row>
    <row r="88" spans="1:15">
      <c r="A88" s="21"/>
      <c r="B88" s="21"/>
      <c r="C88" s="21"/>
      <c r="D88" s="8" t="str">
        <f>IF(C88="","",IFERROR(INDEX(标准答案!$C$6:$C$105,MATCH(C88,标准答案!$A$6:$A$105,0)),""))</f>
        <v/>
      </c>
      <c r="E88" s="8" t="str">
        <f>IF(C88="","",IFERROR(INDEX(标准答案!$E$6:$E$105,MATCH(C88,标准答案!$A$6:$A$105,0)),""))</f>
        <v/>
      </c>
      <c r="F88" s="8" t="str">
        <f>IF(C88="","",IFERROR(INDEX(标准答案!$D$6:$D$105,MATCH(C88,标准答案!$A$6:$A$105,0)),""))</f>
        <v/>
      </c>
      <c r="G88" s="21"/>
      <c r="H88" s="21"/>
      <c r="I88" s="26"/>
      <c r="J88" s="21"/>
      <c r="K88" s="21"/>
      <c r="L88" s="21"/>
      <c r="M88" s="8" t="str">
        <f t="shared" si="2"/>
        <v/>
      </c>
      <c r="N88" s="21"/>
      <c r="O88" s="21"/>
    </row>
    <row r="89" spans="1:15">
      <c r="A89" s="21"/>
      <c r="B89" s="21"/>
      <c r="C89" s="21"/>
      <c r="D89" s="8" t="str">
        <f>IF(C89="","",IFERROR(INDEX(标准答案!$C$6:$C$105,MATCH(C89,标准答案!$A$6:$A$105,0)),""))</f>
        <v/>
      </c>
      <c r="E89" s="8" t="str">
        <f>IF(C89="","",IFERROR(INDEX(标准答案!$E$6:$E$105,MATCH(C89,标准答案!$A$6:$A$105,0)),""))</f>
        <v/>
      </c>
      <c r="F89" s="8" t="str">
        <f>IF(C89="","",IFERROR(INDEX(标准答案!$D$6:$D$105,MATCH(C89,标准答案!$A$6:$A$105,0)),""))</f>
        <v/>
      </c>
      <c r="G89" s="21"/>
      <c r="H89" s="21"/>
      <c r="I89" s="26"/>
      <c r="J89" s="21"/>
      <c r="K89" s="21"/>
      <c r="L89" s="21"/>
      <c r="M89" s="8" t="str">
        <f t="shared" si="2"/>
        <v/>
      </c>
      <c r="N89" s="21"/>
      <c r="O89" s="21"/>
    </row>
    <row r="90" spans="1:15">
      <c r="A90" s="21"/>
      <c r="B90" s="21"/>
      <c r="C90" s="21"/>
      <c r="D90" s="8" t="str">
        <f>IF(C90="","",IFERROR(INDEX(标准答案!$C$6:$C$105,MATCH(C90,标准答案!$A$6:$A$105,0)),""))</f>
        <v/>
      </c>
      <c r="E90" s="8" t="str">
        <f>IF(C90="","",IFERROR(INDEX(标准答案!$E$6:$E$105,MATCH(C90,标准答案!$A$6:$A$105,0)),""))</f>
        <v/>
      </c>
      <c r="F90" s="8" t="str">
        <f>IF(C90="","",IFERROR(INDEX(标准答案!$D$6:$D$105,MATCH(C90,标准答案!$A$6:$A$105,0)),""))</f>
        <v/>
      </c>
      <c r="G90" s="21"/>
      <c r="H90" s="21"/>
      <c r="I90" s="26"/>
      <c r="J90" s="21"/>
      <c r="K90" s="21"/>
      <c r="L90" s="21"/>
      <c r="M90" s="8" t="str">
        <f t="shared" si="2"/>
        <v/>
      </c>
      <c r="N90" s="21"/>
      <c r="O90" s="21"/>
    </row>
    <row r="91" spans="1:15">
      <c r="A91" s="21"/>
      <c r="B91" s="21"/>
      <c r="C91" s="21"/>
      <c r="D91" s="8" t="str">
        <f>IF(C91="","",IFERROR(INDEX(标准答案!$C$6:$C$105,MATCH(C91,标准答案!$A$6:$A$105,0)),""))</f>
        <v/>
      </c>
      <c r="E91" s="8" t="str">
        <f>IF(C91="","",IFERROR(INDEX(标准答案!$E$6:$E$105,MATCH(C91,标准答案!$A$6:$A$105,0)),""))</f>
        <v/>
      </c>
      <c r="F91" s="8" t="str">
        <f>IF(C91="","",IFERROR(INDEX(标准答案!$D$6:$D$105,MATCH(C91,标准答案!$A$6:$A$105,0)),""))</f>
        <v/>
      </c>
      <c r="G91" s="21"/>
      <c r="H91" s="21"/>
      <c r="I91" s="26"/>
      <c r="J91" s="21"/>
      <c r="K91" s="21"/>
      <c r="L91" s="21"/>
      <c r="M91" s="8" t="str">
        <f t="shared" si="2"/>
        <v/>
      </c>
      <c r="N91" s="21"/>
      <c r="O91" s="21"/>
    </row>
    <row r="92" spans="1:15">
      <c r="A92" s="21"/>
      <c r="B92" s="21"/>
      <c r="C92" s="21"/>
      <c r="D92" s="8" t="str">
        <f>IF(C92="","",IFERROR(INDEX(标准答案!$C$6:$C$105,MATCH(C92,标准答案!$A$6:$A$105,0)),""))</f>
        <v/>
      </c>
      <c r="E92" s="8" t="str">
        <f>IF(C92="","",IFERROR(INDEX(标准答案!$E$6:$E$105,MATCH(C92,标准答案!$A$6:$A$105,0)),""))</f>
        <v/>
      </c>
      <c r="F92" s="8" t="str">
        <f>IF(C92="","",IFERROR(INDEX(标准答案!$D$6:$D$105,MATCH(C92,标准答案!$A$6:$A$105,0)),""))</f>
        <v/>
      </c>
      <c r="G92" s="21"/>
      <c r="H92" s="21"/>
      <c r="I92" s="26"/>
      <c r="J92" s="21"/>
      <c r="K92" s="21"/>
      <c r="L92" s="21"/>
      <c r="M92" s="8" t="str">
        <f t="shared" si="2"/>
        <v/>
      </c>
      <c r="N92" s="21"/>
      <c r="O92" s="21"/>
    </row>
    <row r="93" spans="1:15">
      <c r="A93" s="21"/>
      <c r="B93" s="21"/>
      <c r="C93" s="21"/>
      <c r="D93" s="8" t="str">
        <f>IF(C93="","",IFERROR(INDEX(标准答案!$C$6:$C$105,MATCH(C93,标准答案!$A$6:$A$105,0)),""))</f>
        <v/>
      </c>
      <c r="E93" s="8" t="str">
        <f>IF(C93="","",IFERROR(INDEX(标准答案!$E$6:$E$105,MATCH(C93,标准答案!$A$6:$A$105,0)),""))</f>
        <v/>
      </c>
      <c r="F93" s="8" t="str">
        <f>IF(C93="","",IFERROR(INDEX(标准答案!$D$6:$D$105,MATCH(C93,标准答案!$A$6:$A$105,0)),""))</f>
        <v/>
      </c>
      <c r="G93" s="21"/>
      <c r="H93" s="21"/>
      <c r="I93" s="26"/>
      <c r="J93" s="21"/>
      <c r="K93" s="21"/>
      <c r="L93" s="21"/>
      <c r="M93" s="8" t="str">
        <f t="shared" si="2"/>
        <v/>
      </c>
      <c r="N93" s="21"/>
      <c r="O93" s="21"/>
    </row>
    <row r="94" spans="1:15">
      <c r="A94" s="21"/>
      <c r="B94" s="21"/>
      <c r="C94" s="21"/>
      <c r="D94" s="8" t="str">
        <f>IF(C94="","",IFERROR(INDEX(标准答案!$C$6:$C$105,MATCH(C94,标准答案!$A$6:$A$105,0)),""))</f>
        <v/>
      </c>
      <c r="E94" s="8" t="str">
        <f>IF(C94="","",IFERROR(INDEX(标准答案!$E$6:$E$105,MATCH(C94,标准答案!$A$6:$A$105,0)),""))</f>
        <v/>
      </c>
      <c r="F94" s="8" t="str">
        <f>IF(C94="","",IFERROR(INDEX(标准答案!$D$6:$D$105,MATCH(C94,标准答案!$A$6:$A$105,0)),""))</f>
        <v/>
      </c>
      <c r="G94" s="21"/>
      <c r="H94" s="21"/>
      <c r="I94" s="26"/>
      <c r="J94" s="21"/>
      <c r="K94" s="21"/>
      <c r="L94" s="21"/>
      <c r="M94" s="8" t="str">
        <f t="shared" si="2"/>
        <v/>
      </c>
      <c r="N94" s="21"/>
      <c r="O94" s="21"/>
    </row>
    <row r="95" spans="1:15">
      <c r="A95" s="21"/>
      <c r="B95" s="21"/>
      <c r="C95" s="21"/>
      <c r="D95" s="8" t="str">
        <f>IF(C95="","",IFERROR(INDEX(标准答案!$C$6:$C$105,MATCH(C95,标准答案!$A$6:$A$105,0)),""))</f>
        <v/>
      </c>
      <c r="E95" s="8" t="str">
        <f>IF(C95="","",IFERROR(INDEX(标准答案!$E$6:$E$105,MATCH(C95,标准答案!$A$6:$A$105,0)),""))</f>
        <v/>
      </c>
      <c r="F95" s="8" t="str">
        <f>IF(C95="","",IFERROR(INDEX(标准答案!$D$6:$D$105,MATCH(C95,标准答案!$A$6:$A$105,0)),""))</f>
        <v/>
      </c>
      <c r="G95" s="21"/>
      <c r="H95" s="21"/>
      <c r="I95" s="26"/>
      <c r="J95" s="21"/>
      <c r="K95" s="21"/>
      <c r="L95" s="21"/>
      <c r="M95" s="8" t="str">
        <f t="shared" si="2"/>
        <v/>
      </c>
      <c r="N95" s="21"/>
      <c r="O95" s="21"/>
    </row>
    <row r="96" spans="1:15">
      <c r="A96" s="21"/>
      <c r="B96" s="21"/>
      <c r="C96" s="21"/>
      <c r="D96" s="8" t="str">
        <f>IF(C96="","",IFERROR(INDEX(标准答案!$C$6:$C$105,MATCH(C96,标准答案!$A$6:$A$105,0)),""))</f>
        <v/>
      </c>
      <c r="E96" s="8" t="str">
        <f>IF(C96="","",IFERROR(INDEX(标准答案!$E$6:$E$105,MATCH(C96,标准答案!$A$6:$A$105,0)),""))</f>
        <v/>
      </c>
      <c r="F96" s="8" t="str">
        <f>IF(C96="","",IFERROR(INDEX(标准答案!$D$6:$D$105,MATCH(C96,标准答案!$A$6:$A$105,0)),""))</f>
        <v/>
      </c>
      <c r="G96" s="21"/>
      <c r="H96" s="21"/>
      <c r="I96" s="26"/>
      <c r="J96" s="21"/>
      <c r="K96" s="21"/>
      <c r="L96" s="21"/>
      <c r="M96" s="8" t="str">
        <f t="shared" si="2"/>
        <v/>
      </c>
      <c r="N96" s="21"/>
      <c r="O96" s="21"/>
    </row>
    <row r="97" spans="1:15">
      <c r="A97" s="21"/>
      <c r="B97" s="21"/>
      <c r="C97" s="21"/>
      <c r="D97" s="8" t="str">
        <f>IF(C97="","",IFERROR(INDEX(标准答案!$C$6:$C$105,MATCH(C97,标准答案!$A$6:$A$105,0)),""))</f>
        <v/>
      </c>
      <c r="E97" s="8" t="str">
        <f>IF(C97="","",IFERROR(INDEX(标准答案!$E$6:$E$105,MATCH(C97,标准答案!$A$6:$A$105,0)),""))</f>
        <v/>
      </c>
      <c r="F97" s="8" t="str">
        <f>IF(C97="","",IFERROR(INDEX(标准答案!$D$6:$D$105,MATCH(C97,标准答案!$A$6:$A$105,0)),""))</f>
        <v/>
      </c>
      <c r="G97" s="21"/>
      <c r="H97" s="21"/>
      <c r="I97" s="26"/>
      <c r="J97" s="21"/>
      <c r="K97" s="21"/>
      <c r="L97" s="21"/>
      <c r="M97" s="8" t="str">
        <f t="shared" si="2"/>
        <v/>
      </c>
      <c r="N97" s="21"/>
      <c r="O97" s="21"/>
    </row>
    <row r="98" spans="1:15">
      <c r="A98" s="21"/>
      <c r="B98" s="21"/>
      <c r="C98" s="21"/>
      <c r="D98" s="8" t="str">
        <f>IF(C98="","",IFERROR(INDEX(标准答案!$C$6:$C$105,MATCH(C98,标准答案!$A$6:$A$105,0)),""))</f>
        <v/>
      </c>
      <c r="E98" s="8" t="str">
        <f>IF(C98="","",IFERROR(INDEX(标准答案!$E$6:$E$105,MATCH(C98,标准答案!$A$6:$A$105,0)),""))</f>
        <v/>
      </c>
      <c r="F98" s="8" t="str">
        <f>IF(C98="","",IFERROR(INDEX(标准答案!$D$6:$D$105,MATCH(C98,标准答案!$A$6:$A$105,0)),""))</f>
        <v/>
      </c>
      <c r="G98" s="21"/>
      <c r="H98" s="21"/>
      <c r="I98" s="26"/>
      <c r="J98" s="21"/>
      <c r="K98" s="21"/>
      <c r="L98" s="21"/>
      <c r="M98" s="8" t="str">
        <f t="shared" si="2"/>
        <v/>
      </c>
      <c r="N98" s="21"/>
      <c r="O98" s="21"/>
    </row>
    <row r="99" spans="1:15">
      <c r="A99" s="21"/>
      <c r="B99" s="21"/>
      <c r="C99" s="21"/>
      <c r="D99" s="8" t="str">
        <f>IF(C99="","",IFERROR(INDEX(标准答案!$C$6:$C$105,MATCH(C99,标准答案!$A$6:$A$105,0)),""))</f>
        <v/>
      </c>
      <c r="E99" s="8" t="str">
        <f>IF(C99="","",IFERROR(INDEX(标准答案!$E$6:$E$105,MATCH(C99,标准答案!$A$6:$A$105,0)),""))</f>
        <v/>
      </c>
      <c r="F99" s="8" t="str">
        <f>IF(C99="","",IFERROR(INDEX(标准答案!$D$6:$D$105,MATCH(C99,标准答案!$A$6:$A$105,0)),""))</f>
        <v/>
      </c>
      <c r="G99" s="21"/>
      <c r="H99" s="21"/>
      <c r="I99" s="26"/>
      <c r="J99" s="21"/>
      <c r="K99" s="21"/>
      <c r="L99" s="21"/>
      <c r="M99" s="8" t="str">
        <f t="shared" si="2"/>
        <v/>
      </c>
      <c r="N99" s="21"/>
      <c r="O99" s="21"/>
    </row>
    <row r="100" spans="1:15">
      <c r="A100" s="21"/>
      <c r="B100" s="21"/>
      <c r="C100" s="21"/>
      <c r="D100" s="8" t="str">
        <f>IF(C100="","",IFERROR(INDEX(标准答案!$C$6:$C$105,MATCH(C100,标准答案!$A$6:$A$105,0)),""))</f>
        <v/>
      </c>
      <c r="E100" s="8" t="str">
        <f>IF(C100="","",IFERROR(INDEX(标准答案!$E$6:$E$105,MATCH(C100,标准答案!$A$6:$A$105,0)),""))</f>
        <v/>
      </c>
      <c r="F100" s="8" t="str">
        <f>IF(C100="","",IFERROR(INDEX(标准答案!$D$6:$D$105,MATCH(C100,标准答案!$A$6:$A$105,0)),""))</f>
        <v/>
      </c>
      <c r="G100" s="21"/>
      <c r="H100" s="21"/>
      <c r="I100" s="26"/>
      <c r="J100" s="21"/>
      <c r="K100" s="21"/>
      <c r="L100" s="21"/>
      <c r="M100" s="8" t="str">
        <f t="shared" si="2"/>
        <v/>
      </c>
      <c r="N100" s="21"/>
      <c r="O100" s="21"/>
    </row>
    <row r="101" spans="1:15">
      <c r="A101" s="21"/>
      <c r="B101" s="21"/>
      <c r="C101" s="21"/>
      <c r="D101" s="8" t="str">
        <f>IF(C101="","",IFERROR(INDEX(标准答案!$C$6:$C$105,MATCH(C101,标准答案!$A$6:$A$105,0)),""))</f>
        <v/>
      </c>
      <c r="E101" s="8" t="str">
        <f>IF(C101="","",IFERROR(INDEX(标准答案!$E$6:$E$105,MATCH(C101,标准答案!$A$6:$A$105,0)),""))</f>
        <v/>
      </c>
      <c r="F101" s="8" t="str">
        <f>IF(C101="","",IFERROR(INDEX(标准答案!$D$6:$D$105,MATCH(C101,标准答案!$A$6:$A$105,0)),""))</f>
        <v/>
      </c>
      <c r="G101" s="21"/>
      <c r="H101" s="21"/>
      <c r="I101" s="26"/>
      <c r="J101" s="21"/>
      <c r="K101" s="21"/>
      <c r="L101" s="21"/>
      <c r="M101" s="8" t="str">
        <f t="shared" si="2"/>
        <v/>
      </c>
      <c r="N101" s="21"/>
      <c r="O101" s="21"/>
    </row>
    <row r="102" spans="1:15">
      <c r="A102" s="21"/>
      <c r="B102" s="21"/>
      <c r="C102" s="21"/>
      <c r="D102" s="8" t="str">
        <f>IF(C102="","",IFERROR(INDEX(标准答案!$C$6:$C$105,MATCH(C102,标准答案!$A$6:$A$105,0)),""))</f>
        <v/>
      </c>
      <c r="E102" s="8" t="str">
        <f>IF(C102="","",IFERROR(INDEX(标准答案!$E$6:$E$105,MATCH(C102,标准答案!$A$6:$A$105,0)),""))</f>
        <v/>
      </c>
      <c r="F102" s="8" t="str">
        <f>IF(C102="","",IFERROR(INDEX(标准答案!$D$6:$D$105,MATCH(C102,标准答案!$A$6:$A$105,0)),""))</f>
        <v/>
      </c>
      <c r="G102" s="21"/>
      <c r="H102" s="21"/>
      <c r="I102" s="26"/>
      <c r="J102" s="21"/>
      <c r="K102" s="21"/>
      <c r="L102" s="21"/>
      <c r="M102" s="8" t="str">
        <f t="shared" si="2"/>
        <v/>
      </c>
      <c r="N102" s="21"/>
      <c r="O102" s="21"/>
    </row>
    <row r="103" spans="1:15">
      <c r="A103" s="21"/>
      <c r="B103" s="21"/>
      <c r="C103" s="21"/>
      <c r="D103" s="8" t="str">
        <f>IF(C103="","",IFERROR(INDEX(标准答案!$C$6:$C$105,MATCH(C103,标准答案!$A$6:$A$105,0)),""))</f>
        <v/>
      </c>
      <c r="E103" s="8" t="str">
        <f>IF(C103="","",IFERROR(INDEX(标准答案!$E$6:$E$105,MATCH(C103,标准答案!$A$6:$A$105,0)),""))</f>
        <v/>
      </c>
      <c r="F103" s="8" t="str">
        <f>IF(C103="","",IFERROR(INDEX(标准答案!$D$6:$D$105,MATCH(C103,标准答案!$A$6:$A$105,0)),""))</f>
        <v/>
      </c>
      <c r="G103" s="21"/>
      <c r="H103" s="21"/>
      <c r="I103" s="26"/>
      <c r="J103" s="21"/>
      <c r="K103" s="21"/>
      <c r="L103" s="21"/>
      <c r="M103" s="8" t="str">
        <f t="shared" si="2"/>
        <v/>
      </c>
      <c r="N103" s="21"/>
      <c r="O103" s="21"/>
    </row>
    <row r="104" spans="1:15">
      <c r="A104" s="21"/>
      <c r="B104" s="21"/>
      <c r="C104" s="21"/>
      <c r="D104" s="8" t="str">
        <f>IF(C104="","",IFERROR(INDEX(标准答案!$C$6:$C$105,MATCH(C104,标准答案!$A$6:$A$105,0)),""))</f>
        <v/>
      </c>
      <c r="E104" s="8" t="str">
        <f>IF(C104="","",IFERROR(INDEX(标准答案!$E$6:$E$105,MATCH(C104,标准答案!$A$6:$A$105,0)),""))</f>
        <v/>
      </c>
      <c r="F104" s="8" t="str">
        <f>IF(C104="","",IFERROR(INDEX(标准答案!$D$6:$D$105,MATCH(C104,标准答案!$A$6:$A$105,0)),""))</f>
        <v/>
      </c>
      <c r="G104" s="21"/>
      <c r="H104" s="21"/>
      <c r="I104" s="26"/>
      <c r="J104" s="21"/>
      <c r="K104" s="21"/>
      <c r="L104" s="21"/>
      <c r="M104" s="8" t="str">
        <f t="shared" si="2"/>
        <v/>
      </c>
      <c r="N104" s="21"/>
      <c r="O104" s="21"/>
    </row>
    <row r="105" spans="1:15">
      <c r="A105" s="21"/>
      <c r="B105" s="21"/>
      <c r="C105" s="21"/>
      <c r="D105" s="8" t="str">
        <f>IF(C105="","",IFERROR(INDEX(标准答案!$C$6:$C$105,MATCH(C105,标准答案!$A$6:$A$105,0)),""))</f>
        <v/>
      </c>
      <c r="E105" s="8" t="str">
        <f>IF(C105="","",IFERROR(INDEX(标准答案!$E$6:$E$105,MATCH(C105,标准答案!$A$6:$A$105,0)),""))</f>
        <v/>
      </c>
      <c r="F105" s="8" t="str">
        <f>IF(C105="","",IFERROR(INDEX(标准答案!$D$6:$D$105,MATCH(C105,标准答案!$A$6:$A$105,0)),""))</f>
        <v/>
      </c>
      <c r="G105" s="21"/>
      <c r="H105" s="21"/>
      <c r="I105" s="26"/>
      <c r="J105" s="21"/>
      <c r="K105" s="21"/>
      <c r="L105" s="21"/>
      <c r="M105" s="8" t="str">
        <f t="shared" si="2"/>
        <v/>
      </c>
      <c r="N105" s="21"/>
      <c r="O105" s="21"/>
    </row>
  </sheetData>
  <mergeCells count="2">
    <mergeCell ref="A1:O1"/>
    <mergeCell ref="A2:O2"/>
  </mergeCells>
  <phoneticPr fontId="13" type="noConversion"/>
  <conditionalFormatting sqref="M6:M105">
    <cfRule type="containsText" dxfId="1" priority="1" operator="containsText" text="TP"/>
    <cfRule type="containsText" dxfId="0" priority="2" operator="containsText" text="FP"/>
  </conditionalFormatting>
  <dataValidations count="5">
    <dataValidation type="list" sqref="H6:H105" xr:uid="{00000000-0002-0000-0600-000000000000}">
      <formula1>"Published,Not Published,Not Applicable,Unknown"</formula1>
    </dataValidation>
    <dataValidation type="decimal" sqref="I6:I105" xr:uid="{00000000-0002-0000-0600-000001000000}">
      <formula1>0</formula1>
      <formula2>1</formula2>
    </dataValidation>
    <dataValidation type="whole" sqref="J6:J105" xr:uid="{00000000-0002-0000-0600-000002000000}">
      <formula1>1</formula1>
      <formula2>1000</formula2>
    </dataValidation>
    <dataValidation type="list" sqref="L6:L105" xr:uid="{00000000-0002-0000-0600-000003000000}">
      <formula1>"Yes,No,Unclear"</formula1>
    </dataValidation>
    <dataValidation type="list" sqref="N6:N105" xr:uid="{00000000-0002-0000-0600-000004000000}">
      <formula1>"OCR,Wrong Field,Scope,Unit,Hallucination,Missing,Status,Other"</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5"/>
  <sheetViews>
    <sheetView showGridLines="0" workbookViewId="0"/>
  </sheetViews>
  <sheetFormatPr defaultRowHeight="14"/>
  <cols>
    <col min="1" max="1" width="22" customWidth="1"/>
    <col min="2" max="2" width="26" customWidth="1"/>
    <col min="3" max="3" width="16" customWidth="1"/>
    <col min="4" max="5" width="22" customWidth="1"/>
    <col min="6" max="11" width="16" customWidth="1"/>
    <col min="12" max="13" width="20" customWidth="1"/>
    <col min="14" max="14" width="16" customWidth="1"/>
    <col min="15" max="15" width="44" customWidth="1"/>
  </cols>
  <sheetData>
    <row r="1" spans="1:15" ht="34" customHeight="1">
      <c r="A1" s="41" t="s">
        <v>1505</v>
      </c>
      <c r="B1" s="41"/>
      <c r="C1" s="41"/>
      <c r="D1" s="41"/>
      <c r="E1" s="41"/>
      <c r="F1" s="41"/>
      <c r="G1" s="41"/>
      <c r="H1" s="41"/>
      <c r="I1" s="41"/>
      <c r="J1" s="41"/>
      <c r="K1" s="41"/>
      <c r="L1" s="41"/>
      <c r="M1" s="41"/>
      <c r="N1" s="41"/>
      <c r="O1" s="41"/>
    </row>
    <row r="2" spans="1:15" ht="28" customHeight="1">
      <c r="A2" s="42" t="s">
        <v>1506</v>
      </c>
      <c r="B2" s="42"/>
      <c r="C2" s="42"/>
      <c r="D2" s="42"/>
      <c r="E2" s="42"/>
      <c r="F2" s="42"/>
      <c r="G2" s="42"/>
      <c r="H2" s="42"/>
      <c r="I2" s="42"/>
      <c r="J2" s="42"/>
      <c r="K2" s="42"/>
      <c r="L2" s="42"/>
      <c r="M2" s="42"/>
      <c r="N2" s="42"/>
      <c r="O2" s="42"/>
    </row>
    <row r="3" spans="1:15" ht="14.5">
      <c r="A3" s="1"/>
      <c r="B3" s="1"/>
      <c r="C3" s="1"/>
      <c r="D3" s="1"/>
      <c r="E3" s="1"/>
      <c r="F3" s="1"/>
      <c r="G3" s="1"/>
      <c r="H3" s="1"/>
      <c r="I3" s="1"/>
      <c r="J3" s="1"/>
      <c r="K3" s="1"/>
      <c r="L3" s="1"/>
      <c r="M3" s="1"/>
      <c r="N3" s="1"/>
      <c r="O3" s="1"/>
    </row>
    <row r="4" spans="1:15" ht="14.5">
      <c r="A4" s="1"/>
      <c r="B4" s="1"/>
      <c r="C4" s="1"/>
      <c r="D4" s="1"/>
      <c r="E4" s="1"/>
      <c r="F4" s="1"/>
      <c r="G4" s="1"/>
      <c r="H4" s="1"/>
      <c r="I4" s="1"/>
      <c r="J4" s="1"/>
      <c r="K4" s="1"/>
      <c r="L4" s="1"/>
      <c r="M4" s="1"/>
      <c r="N4" s="1"/>
      <c r="O4" s="1"/>
    </row>
    <row r="5" spans="1:15" ht="32" customHeight="1">
      <c r="A5" s="3" t="s">
        <v>1488</v>
      </c>
      <c r="B5" s="4" t="s">
        <v>1494</v>
      </c>
      <c r="C5" s="4" t="s">
        <v>182</v>
      </c>
      <c r="D5" s="4" t="s">
        <v>1507</v>
      </c>
      <c r="E5" s="4" t="s">
        <v>1508</v>
      </c>
      <c r="F5" s="4" t="s">
        <v>1509</v>
      </c>
      <c r="G5" s="4" t="s">
        <v>1510</v>
      </c>
      <c r="H5" s="4" t="s">
        <v>1511</v>
      </c>
      <c r="I5" s="4" t="s">
        <v>1512</v>
      </c>
      <c r="J5" s="4" t="s">
        <v>1513</v>
      </c>
      <c r="K5" s="4" t="s">
        <v>1514</v>
      </c>
      <c r="L5" s="4" t="s">
        <v>1515</v>
      </c>
      <c r="M5" s="4" t="s">
        <v>1516</v>
      </c>
      <c r="N5" s="4" t="s">
        <v>1517</v>
      </c>
      <c r="O5" s="5" t="s">
        <v>1518</v>
      </c>
    </row>
    <row r="6" spans="1:15">
      <c r="A6" s="18"/>
      <c r="B6" s="18"/>
      <c r="C6" s="18"/>
      <c r="D6" s="27"/>
      <c r="E6" s="27"/>
      <c r="F6" s="28" t="str">
        <f t="shared" ref="F6:F37" si="0">IF(OR(D6="",E6=""),"",ROUND((E6-D6)*86400,1))</f>
        <v/>
      </c>
      <c r="G6" s="29"/>
      <c r="H6" s="29"/>
      <c r="I6" s="29"/>
      <c r="J6" s="29"/>
      <c r="K6" s="29"/>
      <c r="L6" s="29"/>
      <c r="M6" s="29"/>
      <c r="N6" s="18"/>
      <c r="O6" s="18"/>
    </row>
    <row r="7" spans="1:15">
      <c r="A7" s="21"/>
      <c r="B7" s="21"/>
      <c r="C7" s="21"/>
      <c r="D7" s="30"/>
      <c r="E7" s="30"/>
      <c r="F7" s="31" t="str">
        <f t="shared" si="0"/>
        <v/>
      </c>
      <c r="G7" s="32"/>
      <c r="H7" s="32"/>
      <c r="I7" s="32"/>
      <c r="J7" s="32"/>
      <c r="K7" s="32"/>
      <c r="L7" s="32"/>
      <c r="M7" s="32"/>
      <c r="N7" s="21"/>
      <c r="O7" s="21"/>
    </row>
    <row r="8" spans="1:15">
      <c r="A8" s="21"/>
      <c r="B8" s="21"/>
      <c r="C8" s="21"/>
      <c r="D8" s="30"/>
      <c r="E8" s="30"/>
      <c r="F8" s="31" t="str">
        <f t="shared" si="0"/>
        <v/>
      </c>
      <c r="G8" s="32"/>
      <c r="H8" s="32"/>
      <c r="I8" s="32"/>
      <c r="J8" s="32"/>
      <c r="K8" s="32"/>
      <c r="L8" s="32"/>
      <c r="M8" s="32"/>
      <c r="N8" s="21"/>
      <c r="O8" s="21"/>
    </row>
    <row r="9" spans="1:15">
      <c r="A9" s="21"/>
      <c r="B9" s="21"/>
      <c r="C9" s="21"/>
      <c r="D9" s="30"/>
      <c r="E9" s="30"/>
      <c r="F9" s="31" t="str">
        <f t="shared" si="0"/>
        <v/>
      </c>
      <c r="G9" s="32"/>
      <c r="H9" s="32"/>
      <c r="I9" s="32"/>
      <c r="J9" s="32"/>
      <c r="K9" s="32"/>
      <c r="L9" s="32"/>
      <c r="M9" s="32"/>
      <c r="N9" s="21"/>
      <c r="O9" s="21"/>
    </row>
    <row r="10" spans="1:15">
      <c r="A10" s="21"/>
      <c r="B10" s="21"/>
      <c r="C10" s="21"/>
      <c r="D10" s="30"/>
      <c r="E10" s="30"/>
      <c r="F10" s="31" t="str">
        <f t="shared" si="0"/>
        <v/>
      </c>
      <c r="G10" s="32"/>
      <c r="H10" s="32"/>
      <c r="I10" s="32"/>
      <c r="J10" s="32"/>
      <c r="K10" s="32"/>
      <c r="L10" s="32"/>
      <c r="M10" s="32"/>
      <c r="N10" s="21"/>
      <c r="O10" s="21"/>
    </row>
    <row r="11" spans="1:15">
      <c r="A11" s="21"/>
      <c r="B11" s="21"/>
      <c r="C11" s="21"/>
      <c r="D11" s="30"/>
      <c r="E11" s="30"/>
      <c r="F11" s="31" t="str">
        <f t="shared" si="0"/>
        <v/>
      </c>
      <c r="G11" s="32"/>
      <c r="H11" s="32"/>
      <c r="I11" s="32"/>
      <c r="J11" s="32"/>
      <c r="K11" s="32"/>
      <c r="L11" s="32"/>
      <c r="M11" s="32"/>
      <c r="N11" s="21"/>
      <c r="O11" s="21"/>
    </row>
    <row r="12" spans="1:15">
      <c r="A12" s="21"/>
      <c r="B12" s="21"/>
      <c r="C12" s="21"/>
      <c r="D12" s="30"/>
      <c r="E12" s="30"/>
      <c r="F12" s="31" t="str">
        <f t="shared" si="0"/>
        <v/>
      </c>
      <c r="G12" s="32"/>
      <c r="H12" s="32"/>
      <c r="I12" s="32"/>
      <c r="J12" s="32"/>
      <c r="K12" s="32"/>
      <c r="L12" s="32"/>
      <c r="M12" s="32"/>
      <c r="N12" s="21"/>
      <c r="O12" s="21"/>
    </row>
    <row r="13" spans="1:15">
      <c r="A13" s="21"/>
      <c r="B13" s="21"/>
      <c r="C13" s="21"/>
      <c r="D13" s="30"/>
      <c r="E13" s="30"/>
      <c r="F13" s="31" t="str">
        <f t="shared" si="0"/>
        <v/>
      </c>
      <c r="G13" s="32"/>
      <c r="H13" s="32"/>
      <c r="I13" s="32"/>
      <c r="J13" s="32"/>
      <c r="K13" s="32"/>
      <c r="L13" s="32"/>
      <c r="M13" s="32"/>
      <c r="N13" s="21"/>
      <c r="O13" s="21"/>
    </row>
    <row r="14" spans="1:15">
      <c r="A14" s="21"/>
      <c r="B14" s="21"/>
      <c r="C14" s="21"/>
      <c r="D14" s="30"/>
      <c r="E14" s="30"/>
      <c r="F14" s="31" t="str">
        <f t="shared" si="0"/>
        <v/>
      </c>
      <c r="G14" s="32"/>
      <c r="H14" s="32"/>
      <c r="I14" s="32"/>
      <c r="J14" s="32"/>
      <c r="K14" s="32"/>
      <c r="L14" s="32"/>
      <c r="M14" s="32"/>
      <c r="N14" s="21"/>
      <c r="O14" s="21"/>
    </row>
    <row r="15" spans="1:15">
      <c r="A15" s="21"/>
      <c r="B15" s="21"/>
      <c r="C15" s="21"/>
      <c r="D15" s="30"/>
      <c r="E15" s="30"/>
      <c r="F15" s="31" t="str">
        <f t="shared" si="0"/>
        <v/>
      </c>
      <c r="G15" s="32"/>
      <c r="H15" s="32"/>
      <c r="I15" s="32"/>
      <c r="J15" s="32"/>
      <c r="K15" s="32"/>
      <c r="L15" s="32"/>
      <c r="M15" s="32"/>
      <c r="N15" s="21"/>
      <c r="O15" s="21"/>
    </row>
    <row r="16" spans="1:15">
      <c r="A16" s="21"/>
      <c r="B16" s="21"/>
      <c r="C16" s="21"/>
      <c r="D16" s="30"/>
      <c r="E16" s="30"/>
      <c r="F16" s="31" t="str">
        <f t="shared" si="0"/>
        <v/>
      </c>
      <c r="G16" s="32"/>
      <c r="H16" s="32"/>
      <c r="I16" s="32"/>
      <c r="J16" s="32"/>
      <c r="K16" s="32"/>
      <c r="L16" s="32"/>
      <c r="M16" s="32"/>
      <c r="N16" s="21"/>
      <c r="O16" s="21"/>
    </row>
    <row r="17" spans="1:15">
      <c r="A17" s="21"/>
      <c r="B17" s="21"/>
      <c r="C17" s="21"/>
      <c r="D17" s="30"/>
      <c r="E17" s="30"/>
      <c r="F17" s="31" t="str">
        <f t="shared" si="0"/>
        <v/>
      </c>
      <c r="G17" s="32"/>
      <c r="H17" s="32"/>
      <c r="I17" s="32"/>
      <c r="J17" s="32"/>
      <c r="K17" s="32"/>
      <c r="L17" s="32"/>
      <c r="M17" s="32"/>
      <c r="N17" s="21"/>
      <c r="O17" s="21"/>
    </row>
    <row r="18" spans="1:15">
      <c r="A18" s="21"/>
      <c r="B18" s="21"/>
      <c r="C18" s="21"/>
      <c r="D18" s="30"/>
      <c r="E18" s="30"/>
      <c r="F18" s="31" t="str">
        <f t="shared" si="0"/>
        <v/>
      </c>
      <c r="G18" s="32"/>
      <c r="H18" s="32"/>
      <c r="I18" s="32"/>
      <c r="J18" s="32"/>
      <c r="K18" s="32"/>
      <c r="L18" s="32"/>
      <c r="M18" s="32"/>
      <c r="N18" s="21"/>
      <c r="O18" s="21"/>
    </row>
    <row r="19" spans="1:15">
      <c r="A19" s="21"/>
      <c r="B19" s="21"/>
      <c r="C19" s="21"/>
      <c r="D19" s="30"/>
      <c r="E19" s="30"/>
      <c r="F19" s="31" t="str">
        <f t="shared" si="0"/>
        <v/>
      </c>
      <c r="G19" s="32"/>
      <c r="H19" s="32"/>
      <c r="I19" s="32"/>
      <c r="J19" s="32"/>
      <c r="K19" s="32"/>
      <c r="L19" s="32"/>
      <c r="M19" s="32"/>
      <c r="N19" s="21"/>
      <c r="O19" s="21"/>
    </row>
    <row r="20" spans="1:15">
      <c r="A20" s="21"/>
      <c r="B20" s="21"/>
      <c r="C20" s="21"/>
      <c r="D20" s="30"/>
      <c r="E20" s="30"/>
      <c r="F20" s="31" t="str">
        <f t="shared" si="0"/>
        <v/>
      </c>
      <c r="G20" s="32"/>
      <c r="H20" s="32"/>
      <c r="I20" s="32"/>
      <c r="J20" s="32"/>
      <c r="K20" s="32"/>
      <c r="L20" s="32"/>
      <c r="M20" s="32"/>
      <c r="N20" s="21"/>
      <c r="O20" s="21"/>
    </row>
    <row r="21" spans="1:15">
      <c r="A21" s="21"/>
      <c r="B21" s="21"/>
      <c r="C21" s="21"/>
      <c r="D21" s="30"/>
      <c r="E21" s="30"/>
      <c r="F21" s="31" t="str">
        <f t="shared" si="0"/>
        <v/>
      </c>
      <c r="G21" s="32"/>
      <c r="H21" s="32"/>
      <c r="I21" s="32"/>
      <c r="J21" s="32"/>
      <c r="K21" s="32"/>
      <c r="L21" s="32"/>
      <c r="M21" s="32"/>
      <c r="N21" s="21"/>
      <c r="O21" s="21"/>
    </row>
    <row r="22" spans="1:15">
      <c r="A22" s="21"/>
      <c r="B22" s="21"/>
      <c r="C22" s="21"/>
      <c r="D22" s="30"/>
      <c r="E22" s="30"/>
      <c r="F22" s="31" t="str">
        <f t="shared" si="0"/>
        <v/>
      </c>
      <c r="G22" s="32"/>
      <c r="H22" s="32"/>
      <c r="I22" s="32"/>
      <c r="J22" s="32"/>
      <c r="K22" s="32"/>
      <c r="L22" s="32"/>
      <c r="M22" s="32"/>
      <c r="N22" s="21"/>
      <c r="O22" s="21"/>
    </row>
    <row r="23" spans="1:15">
      <c r="A23" s="21"/>
      <c r="B23" s="21"/>
      <c r="C23" s="21"/>
      <c r="D23" s="30"/>
      <c r="E23" s="30"/>
      <c r="F23" s="31" t="str">
        <f t="shared" si="0"/>
        <v/>
      </c>
      <c r="G23" s="32"/>
      <c r="H23" s="32"/>
      <c r="I23" s="32"/>
      <c r="J23" s="32"/>
      <c r="K23" s="32"/>
      <c r="L23" s="32"/>
      <c r="M23" s="32"/>
      <c r="N23" s="21"/>
      <c r="O23" s="21"/>
    </row>
    <row r="24" spans="1:15">
      <c r="A24" s="21"/>
      <c r="B24" s="21"/>
      <c r="C24" s="21"/>
      <c r="D24" s="30"/>
      <c r="E24" s="30"/>
      <c r="F24" s="31" t="str">
        <f t="shared" si="0"/>
        <v/>
      </c>
      <c r="G24" s="32"/>
      <c r="H24" s="32"/>
      <c r="I24" s="32"/>
      <c r="J24" s="32"/>
      <c r="K24" s="32"/>
      <c r="L24" s="32"/>
      <c r="M24" s="32"/>
      <c r="N24" s="21"/>
      <c r="O24" s="21"/>
    </row>
    <row r="25" spans="1:15">
      <c r="A25" s="21"/>
      <c r="B25" s="21"/>
      <c r="C25" s="21"/>
      <c r="D25" s="30"/>
      <c r="E25" s="30"/>
      <c r="F25" s="31" t="str">
        <f t="shared" si="0"/>
        <v/>
      </c>
      <c r="G25" s="32"/>
      <c r="H25" s="32"/>
      <c r="I25" s="32"/>
      <c r="J25" s="32"/>
      <c r="K25" s="32"/>
      <c r="L25" s="32"/>
      <c r="M25" s="32"/>
      <c r="N25" s="21"/>
      <c r="O25" s="21"/>
    </row>
    <row r="26" spans="1:15">
      <c r="A26" s="21"/>
      <c r="B26" s="21"/>
      <c r="C26" s="21"/>
      <c r="D26" s="30"/>
      <c r="E26" s="30"/>
      <c r="F26" s="31" t="str">
        <f t="shared" si="0"/>
        <v/>
      </c>
      <c r="G26" s="32"/>
      <c r="H26" s="32"/>
      <c r="I26" s="32"/>
      <c r="J26" s="32"/>
      <c r="K26" s="32"/>
      <c r="L26" s="32"/>
      <c r="M26" s="32"/>
      <c r="N26" s="21"/>
      <c r="O26" s="21"/>
    </row>
    <row r="27" spans="1:15">
      <c r="A27" s="21"/>
      <c r="B27" s="21"/>
      <c r="C27" s="21"/>
      <c r="D27" s="30"/>
      <c r="E27" s="30"/>
      <c r="F27" s="31" t="str">
        <f t="shared" si="0"/>
        <v/>
      </c>
      <c r="G27" s="32"/>
      <c r="H27" s="32"/>
      <c r="I27" s="32"/>
      <c r="J27" s="32"/>
      <c r="K27" s="32"/>
      <c r="L27" s="32"/>
      <c r="M27" s="32"/>
      <c r="N27" s="21"/>
      <c r="O27" s="21"/>
    </row>
    <row r="28" spans="1:15">
      <c r="A28" s="21"/>
      <c r="B28" s="21"/>
      <c r="C28" s="21"/>
      <c r="D28" s="30"/>
      <c r="E28" s="30"/>
      <c r="F28" s="31" t="str">
        <f t="shared" si="0"/>
        <v/>
      </c>
      <c r="G28" s="32"/>
      <c r="H28" s="32"/>
      <c r="I28" s="32"/>
      <c r="J28" s="32"/>
      <c r="K28" s="32"/>
      <c r="L28" s="32"/>
      <c r="M28" s="32"/>
      <c r="N28" s="21"/>
      <c r="O28" s="21"/>
    </row>
    <row r="29" spans="1:15">
      <c r="A29" s="21"/>
      <c r="B29" s="21"/>
      <c r="C29" s="21"/>
      <c r="D29" s="30"/>
      <c r="E29" s="30"/>
      <c r="F29" s="31" t="str">
        <f t="shared" si="0"/>
        <v/>
      </c>
      <c r="G29" s="32"/>
      <c r="H29" s="32"/>
      <c r="I29" s="32"/>
      <c r="J29" s="32"/>
      <c r="K29" s="32"/>
      <c r="L29" s="32"/>
      <c r="M29" s="32"/>
      <c r="N29" s="21"/>
      <c r="O29" s="21"/>
    </row>
    <row r="30" spans="1:15">
      <c r="A30" s="21"/>
      <c r="B30" s="21"/>
      <c r="C30" s="21"/>
      <c r="D30" s="30"/>
      <c r="E30" s="30"/>
      <c r="F30" s="31" t="str">
        <f t="shared" si="0"/>
        <v/>
      </c>
      <c r="G30" s="32"/>
      <c r="H30" s="32"/>
      <c r="I30" s="32"/>
      <c r="J30" s="32"/>
      <c r="K30" s="32"/>
      <c r="L30" s="32"/>
      <c r="M30" s="32"/>
      <c r="N30" s="21"/>
      <c r="O30" s="21"/>
    </row>
    <row r="31" spans="1:15">
      <c r="A31" s="21"/>
      <c r="B31" s="21"/>
      <c r="C31" s="21"/>
      <c r="D31" s="30"/>
      <c r="E31" s="30"/>
      <c r="F31" s="31" t="str">
        <f t="shared" si="0"/>
        <v/>
      </c>
      <c r="G31" s="32"/>
      <c r="H31" s="32"/>
      <c r="I31" s="32"/>
      <c r="J31" s="32"/>
      <c r="K31" s="32"/>
      <c r="L31" s="32"/>
      <c r="M31" s="32"/>
      <c r="N31" s="21"/>
      <c r="O31" s="21"/>
    </row>
    <row r="32" spans="1:15">
      <c r="A32" s="21"/>
      <c r="B32" s="21"/>
      <c r="C32" s="21"/>
      <c r="D32" s="30"/>
      <c r="E32" s="30"/>
      <c r="F32" s="31" t="str">
        <f t="shared" si="0"/>
        <v/>
      </c>
      <c r="G32" s="32"/>
      <c r="H32" s="32"/>
      <c r="I32" s="32"/>
      <c r="J32" s="32"/>
      <c r="K32" s="32"/>
      <c r="L32" s="32"/>
      <c r="M32" s="32"/>
      <c r="N32" s="21"/>
      <c r="O32" s="21"/>
    </row>
    <row r="33" spans="1:15">
      <c r="A33" s="21"/>
      <c r="B33" s="21"/>
      <c r="C33" s="21"/>
      <c r="D33" s="30"/>
      <c r="E33" s="30"/>
      <c r="F33" s="31" t="str">
        <f t="shared" si="0"/>
        <v/>
      </c>
      <c r="G33" s="32"/>
      <c r="H33" s="32"/>
      <c r="I33" s="32"/>
      <c r="J33" s="32"/>
      <c r="K33" s="32"/>
      <c r="L33" s="32"/>
      <c r="M33" s="32"/>
      <c r="N33" s="21"/>
      <c r="O33" s="21"/>
    </row>
    <row r="34" spans="1:15">
      <c r="A34" s="21"/>
      <c r="B34" s="21"/>
      <c r="C34" s="21"/>
      <c r="D34" s="30"/>
      <c r="E34" s="30"/>
      <c r="F34" s="31" t="str">
        <f t="shared" si="0"/>
        <v/>
      </c>
      <c r="G34" s="32"/>
      <c r="H34" s="32"/>
      <c r="I34" s="32"/>
      <c r="J34" s="32"/>
      <c r="K34" s="32"/>
      <c r="L34" s="32"/>
      <c r="M34" s="32"/>
      <c r="N34" s="21"/>
      <c r="O34" s="21"/>
    </row>
    <row r="35" spans="1:15">
      <c r="A35" s="21"/>
      <c r="B35" s="21"/>
      <c r="C35" s="21"/>
      <c r="D35" s="30"/>
      <c r="E35" s="30"/>
      <c r="F35" s="31" t="str">
        <f t="shared" si="0"/>
        <v/>
      </c>
      <c r="G35" s="32"/>
      <c r="H35" s="32"/>
      <c r="I35" s="32"/>
      <c r="J35" s="32"/>
      <c r="K35" s="32"/>
      <c r="L35" s="32"/>
      <c r="M35" s="32"/>
      <c r="N35" s="21"/>
      <c r="O35" s="21"/>
    </row>
    <row r="36" spans="1:15">
      <c r="A36" s="21"/>
      <c r="B36" s="21"/>
      <c r="C36" s="21"/>
      <c r="D36" s="30"/>
      <c r="E36" s="30"/>
      <c r="F36" s="31" t="str">
        <f t="shared" si="0"/>
        <v/>
      </c>
      <c r="G36" s="32"/>
      <c r="H36" s="32"/>
      <c r="I36" s="32"/>
      <c r="J36" s="32"/>
      <c r="K36" s="32"/>
      <c r="L36" s="32"/>
      <c r="M36" s="32"/>
      <c r="N36" s="21"/>
      <c r="O36" s="21"/>
    </row>
    <row r="37" spans="1:15">
      <c r="A37" s="21"/>
      <c r="B37" s="21"/>
      <c r="C37" s="21"/>
      <c r="D37" s="30"/>
      <c r="E37" s="30"/>
      <c r="F37" s="31" t="str">
        <f t="shared" si="0"/>
        <v/>
      </c>
      <c r="G37" s="32"/>
      <c r="H37" s="32"/>
      <c r="I37" s="32"/>
      <c r="J37" s="32"/>
      <c r="K37" s="32"/>
      <c r="L37" s="32"/>
      <c r="M37" s="32"/>
      <c r="N37" s="21"/>
      <c r="O37" s="21"/>
    </row>
    <row r="38" spans="1:15">
      <c r="A38" s="21"/>
      <c r="B38" s="21"/>
      <c r="C38" s="21"/>
      <c r="D38" s="30"/>
      <c r="E38" s="30"/>
      <c r="F38" s="31" t="str">
        <f t="shared" ref="F38:F55" si="1">IF(OR(D38="",E38=""),"",ROUND((E38-D38)*86400,1))</f>
        <v/>
      </c>
      <c r="G38" s="32"/>
      <c r="H38" s="32"/>
      <c r="I38" s="32"/>
      <c r="J38" s="32"/>
      <c r="K38" s="32"/>
      <c r="L38" s="32"/>
      <c r="M38" s="32"/>
      <c r="N38" s="21"/>
      <c r="O38" s="21"/>
    </row>
    <row r="39" spans="1:15">
      <c r="A39" s="21"/>
      <c r="B39" s="21"/>
      <c r="C39" s="21"/>
      <c r="D39" s="30"/>
      <c r="E39" s="30"/>
      <c r="F39" s="31" t="str">
        <f t="shared" si="1"/>
        <v/>
      </c>
      <c r="G39" s="32"/>
      <c r="H39" s="32"/>
      <c r="I39" s="32"/>
      <c r="J39" s="32"/>
      <c r="K39" s="32"/>
      <c r="L39" s="32"/>
      <c r="M39" s="32"/>
      <c r="N39" s="21"/>
      <c r="O39" s="21"/>
    </row>
    <row r="40" spans="1:15">
      <c r="A40" s="21"/>
      <c r="B40" s="21"/>
      <c r="C40" s="21"/>
      <c r="D40" s="30"/>
      <c r="E40" s="30"/>
      <c r="F40" s="31" t="str">
        <f t="shared" si="1"/>
        <v/>
      </c>
      <c r="G40" s="32"/>
      <c r="H40" s="32"/>
      <c r="I40" s="32"/>
      <c r="J40" s="32"/>
      <c r="K40" s="32"/>
      <c r="L40" s="32"/>
      <c r="M40" s="32"/>
      <c r="N40" s="21"/>
      <c r="O40" s="21"/>
    </row>
    <row r="41" spans="1:15">
      <c r="A41" s="21"/>
      <c r="B41" s="21"/>
      <c r="C41" s="21"/>
      <c r="D41" s="30"/>
      <c r="E41" s="30"/>
      <c r="F41" s="31" t="str">
        <f t="shared" si="1"/>
        <v/>
      </c>
      <c r="G41" s="32"/>
      <c r="H41" s="32"/>
      <c r="I41" s="32"/>
      <c r="J41" s="32"/>
      <c r="K41" s="32"/>
      <c r="L41" s="32"/>
      <c r="M41" s="32"/>
      <c r="N41" s="21"/>
      <c r="O41" s="21"/>
    </row>
    <row r="42" spans="1:15">
      <c r="A42" s="21"/>
      <c r="B42" s="21"/>
      <c r="C42" s="21"/>
      <c r="D42" s="30"/>
      <c r="E42" s="30"/>
      <c r="F42" s="31" t="str">
        <f t="shared" si="1"/>
        <v/>
      </c>
      <c r="G42" s="32"/>
      <c r="H42" s="32"/>
      <c r="I42" s="32"/>
      <c r="J42" s="32"/>
      <c r="K42" s="32"/>
      <c r="L42" s="32"/>
      <c r="M42" s="32"/>
      <c r="N42" s="21"/>
      <c r="O42" s="21"/>
    </row>
    <row r="43" spans="1:15">
      <c r="A43" s="21"/>
      <c r="B43" s="21"/>
      <c r="C43" s="21"/>
      <c r="D43" s="30"/>
      <c r="E43" s="30"/>
      <c r="F43" s="31" t="str">
        <f t="shared" si="1"/>
        <v/>
      </c>
      <c r="G43" s="32"/>
      <c r="H43" s="32"/>
      <c r="I43" s="32"/>
      <c r="J43" s="32"/>
      <c r="K43" s="32"/>
      <c r="L43" s="32"/>
      <c r="M43" s="32"/>
      <c r="N43" s="21"/>
      <c r="O43" s="21"/>
    </row>
    <row r="44" spans="1:15">
      <c r="A44" s="21"/>
      <c r="B44" s="21"/>
      <c r="C44" s="21"/>
      <c r="D44" s="30"/>
      <c r="E44" s="30"/>
      <c r="F44" s="31" t="str">
        <f t="shared" si="1"/>
        <v/>
      </c>
      <c r="G44" s="32"/>
      <c r="H44" s="32"/>
      <c r="I44" s="32"/>
      <c r="J44" s="32"/>
      <c r="K44" s="32"/>
      <c r="L44" s="32"/>
      <c r="M44" s="32"/>
      <c r="N44" s="21"/>
      <c r="O44" s="21"/>
    </row>
    <row r="45" spans="1:15">
      <c r="A45" s="21"/>
      <c r="B45" s="21"/>
      <c r="C45" s="21"/>
      <c r="D45" s="30"/>
      <c r="E45" s="30"/>
      <c r="F45" s="31" t="str">
        <f t="shared" si="1"/>
        <v/>
      </c>
      <c r="G45" s="32"/>
      <c r="H45" s="32"/>
      <c r="I45" s="32"/>
      <c r="J45" s="32"/>
      <c r="K45" s="32"/>
      <c r="L45" s="32"/>
      <c r="M45" s="32"/>
      <c r="N45" s="21"/>
      <c r="O45" s="21"/>
    </row>
    <row r="46" spans="1:15">
      <c r="A46" s="21"/>
      <c r="B46" s="21"/>
      <c r="C46" s="21"/>
      <c r="D46" s="30"/>
      <c r="E46" s="30"/>
      <c r="F46" s="31" t="str">
        <f t="shared" si="1"/>
        <v/>
      </c>
      <c r="G46" s="32"/>
      <c r="H46" s="32"/>
      <c r="I46" s="32"/>
      <c r="J46" s="32"/>
      <c r="K46" s="32"/>
      <c r="L46" s="32"/>
      <c r="M46" s="32"/>
      <c r="N46" s="21"/>
      <c r="O46" s="21"/>
    </row>
    <row r="47" spans="1:15">
      <c r="A47" s="21"/>
      <c r="B47" s="21"/>
      <c r="C47" s="21"/>
      <c r="D47" s="30"/>
      <c r="E47" s="30"/>
      <c r="F47" s="31" t="str">
        <f t="shared" si="1"/>
        <v/>
      </c>
      <c r="G47" s="32"/>
      <c r="H47" s="32"/>
      <c r="I47" s="32"/>
      <c r="J47" s="32"/>
      <c r="K47" s="32"/>
      <c r="L47" s="32"/>
      <c r="M47" s="32"/>
      <c r="N47" s="21"/>
      <c r="O47" s="21"/>
    </row>
    <row r="48" spans="1:15">
      <c r="A48" s="21"/>
      <c r="B48" s="21"/>
      <c r="C48" s="21"/>
      <c r="D48" s="30"/>
      <c r="E48" s="30"/>
      <c r="F48" s="31" t="str">
        <f t="shared" si="1"/>
        <v/>
      </c>
      <c r="G48" s="32"/>
      <c r="H48" s="32"/>
      <c r="I48" s="32"/>
      <c r="J48" s="32"/>
      <c r="K48" s="32"/>
      <c r="L48" s="32"/>
      <c r="M48" s="32"/>
      <c r="N48" s="21"/>
      <c r="O48" s="21"/>
    </row>
    <row r="49" spans="1:15">
      <c r="A49" s="21"/>
      <c r="B49" s="21"/>
      <c r="C49" s="21"/>
      <c r="D49" s="30"/>
      <c r="E49" s="30"/>
      <c r="F49" s="31" t="str">
        <f t="shared" si="1"/>
        <v/>
      </c>
      <c r="G49" s="32"/>
      <c r="H49" s="32"/>
      <c r="I49" s="32"/>
      <c r="J49" s="32"/>
      <c r="K49" s="32"/>
      <c r="L49" s="32"/>
      <c r="M49" s="32"/>
      <c r="N49" s="21"/>
      <c r="O49" s="21"/>
    </row>
    <row r="50" spans="1:15">
      <c r="A50" s="21"/>
      <c r="B50" s="21"/>
      <c r="C50" s="21"/>
      <c r="D50" s="30"/>
      <c r="E50" s="30"/>
      <c r="F50" s="31" t="str">
        <f t="shared" si="1"/>
        <v/>
      </c>
      <c r="G50" s="32"/>
      <c r="H50" s="32"/>
      <c r="I50" s="32"/>
      <c r="J50" s="32"/>
      <c r="K50" s="32"/>
      <c r="L50" s="32"/>
      <c r="M50" s="32"/>
      <c r="N50" s="21"/>
      <c r="O50" s="21"/>
    </row>
    <row r="51" spans="1:15">
      <c r="A51" s="21"/>
      <c r="B51" s="21"/>
      <c r="C51" s="21"/>
      <c r="D51" s="30"/>
      <c r="E51" s="30"/>
      <c r="F51" s="31" t="str">
        <f t="shared" si="1"/>
        <v/>
      </c>
      <c r="G51" s="32"/>
      <c r="H51" s="32"/>
      <c r="I51" s="32"/>
      <c r="J51" s="32"/>
      <c r="K51" s="32"/>
      <c r="L51" s="32"/>
      <c r="M51" s="32"/>
      <c r="N51" s="21"/>
      <c r="O51" s="21"/>
    </row>
    <row r="52" spans="1:15">
      <c r="A52" s="21"/>
      <c r="B52" s="21"/>
      <c r="C52" s="21"/>
      <c r="D52" s="30"/>
      <c r="E52" s="30"/>
      <c r="F52" s="31" t="str">
        <f t="shared" si="1"/>
        <v/>
      </c>
      <c r="G52" s="32"/>
      <c r="H52" s="32"/>
      <c r="I52" s="32"/>
      <c r="J52" s="32"/>
      <c r="K52" s="32"/>
      <c r="L52" s="32"/>
      <c r="M52" s="32"/>
      <c r="N52" s="21"/>
      <c r="O52" s="21"/>
    </row>
    <row r="53" spans="1:15">
      <c r="A53" s="21"/>
      <c r="B53" s="21"/>
      <c r="C53" s="21"/>
      <c r="D53" s="30"/>
      <c r="E53" s="30"/>
      <c r="F53" s="31" t="str">
        <f t="shared" si="1"/>
        <v/>
      </c>
      <c r="G53" s="32"/>
      <c r="H53" s="32"/>
      <c r="I53" s="32"/>
      <c r="J53" s="32"/>
      <c r="K53" s="32"/>
      <c r="L53" s="32"/>
      <c r="M53" s="32"/>
      <c r="N53" s="21"/>
      <c r="O53" s="21"/>
    </row>
    <row r="54" spans="1:15">
      <c r="A54" s="21"/>
      <c r="B54" s="21"/>
      <c r="C54" s="21"/>
      <c r="D54" s="30"/>
      <c r="E54" s="30"/>
      <c r="F54" s="31" t="str">
        <f t="shared" si="1"/>
        <v/>
      </c>
      <c r="G54" s="32"/>
      <c r="H54" s="32"/>
      <c r="I54" s="32"/>
      <c r="J54" s="32"/>
      <c r="K54" s="32"/>
      <c r="L54" s="32"/>
      <c r="M54" s="32"/>
      <c r="N54" s="21"/>
      <c r="O54" s="21"/>
    </row>
    <row r="55" spans="1:15">
      <c r="A55" s="21"/>
      <c r="B55" s="21"/>
      <c r="C55" s="21"/>
      <c r="D55" s="30"/>
      <c r="E55" s="30"/>
      <c r="F55" s="31" t="str">
        <f t="shared" si="1"/>
        <v/>
      </c>
      <c r="G55" s="32"/>
      <c r="H55" s="32"/>
      <c r="I55" s="32"/>
      <c r="J55" s="32"/>
      <c r="K55" s="32"/>
      <c r="L55" s="32"/>
      <c r="M55" s="32"/>
      <c r="N55" s="21"/>
      <c r="O55" s="21"/>
    </row>
  </sheetData>
  <mergeCells count="2">
    <mergeCell ref="A1:O1"/>
    <mergeCell ref="A2:O2"/>
  </mergeCells>
  <phoneticPr fontId="13" type="noConversion"/>
  <dataValidations count="1">
    <dataValidation type="list" sqref="N6:N55" xr:uid="{00000000-0002-0000-0700-000000000000}">
      <formula1>"Completed,Failed,Cancelled"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42"/>
  <sheetViews>
    <sheetView showGridLines="0" workbookViewId="0"/>
  </sheetViews>
  <sheetFormatPr defaultRowHeight="14"/>
  <cols>
    <col min="1" max="1" width="30" customWidth="1"/>
    <col min="2" max="3" width="34" customWidth="1"/>
    <col min="4" max="4" width="22" customWidth="1"/>
    <col min="5" max="5" width="16" customWidth="1"/>
    <col min="6" max="7" width="12" customWidth="1"/>
    <col min="8" max="8" width="56" customWidth="1"/>
    <col min="9" max="9" width="20" customWidth="1"/>
    <col min="10" max="10" width="24" customWidth="1"/>
  </cols>
  <sheetData>
    <row r="1" spans="1:10" ht="34" customHeight="1">
      <c r="A1" s="41" t="s">
        <v>1519</v>
      </c>
      <c r="B1" s="41"/>
      <c r="C1" s="41"/>
      <c r="D1" s="41"/>
      <c r="E1" s="41"/>
      <c r="F1" s="41"/>
      <c r="G1" s="41"/>
      <c r="H1" s="41"/>
      <c r="I1" s="41"/>
      <c r="J1" s="41"/>
    </row>
    <row r="2" spans="1:10" ht="28" customHeight="1">
      <c r="A2" s="42" t="s">
        <v>1520</v>
      </c>
      <c r="B2" s="42"/>
      <c r="C2" s="42"/>
      <c r="D2" s="42"/>
      <c r="E2" s="42"/>
      <c r="F2" s="42"/>
      <c r="G2" s="42"/>
      <c r="H2" s="42"/>
      <c r="I2" s="42"/>
      <c r="J2" s="42"/>
    </row>
    <row r="3" spans="1:10" ht="14.5">
      <c r="A3" s="1"/>
      <c r="B3" s="1"/>
      <c r="C3" s="1"/>
      <c r="D3" s="1"/>
      <c r="E3" s="1"/>
      <c r="F3" s="1"/>
      <c r="G3" s="1"/>
      <c r="H3" s="1"/>
      <c r="I3" s="1"/>
      <c r="J3" s="1"/>
    </row>
    <row r="4" spans="1:10" ht="32" customHeight="1">
      <c r="A4" s="3" t="s">
        <v>109</v>
      </c>
      <c r="B4" s="4" t="s">
        <v>346</v>
      </c>
      <c r="C4" s="4" t="s">
        <v>1521</v>
      </c>
      <c r="D4" s="4" t="s">
        <v>1522</v>
      </c>
      <c r="E4" s="4" t="s">
        <v>1523</v>
      </c>
      <c r="F4" s="4" t="s">
        <v>350</v>
      </c>
      <c r="G4" s="4" t="s">
        <v>1524</v>
      </c>
      <c r="H4" s="4" t="s">
        <v>1525</v>
      </c>
      <c r="I4" s="4" t="s">
        <v>1526</v>
      </c>
      <c r="J4" s="5" t="s">
        <v>1527</v>
      </c>
    </row>
    <row r="5" spans="1:10">
      <c r="A5" s="7" t="s">
        <v>1528</v>
      </c>
      <c r="B5" s="7" t="s">
        <v>396</v>
      </c>
      <c r="C5" s="7" t="s">
        <v>1529</v>
      </c>
      <c r="D5" s="7" t="s">
        <v>1530</v>
      </c>
      <c r="E5" s="7" t="s">
        <v>362</v>
      </c>
      <c r="F5" s="7"/>
      <c r="G5" s="7" t="s">
        <v>211</v>
      </c>
      <c r="H5" s="7"/>
      <c r="I5" s="7"/>
      <c r="J5" s="7" t="s">
        <v>212</v>
      </c>
    </row>
    <row r="6" spans="1:10">
      <c r="A6" s="8" t="s">
        <v>1528</v>
      </c>
      <c r="B6" s="8" t="s">
        <v>450</v>
      </c>
      <c r="C6" s="8" t="s">
        <v>1531</v>
      </c>
      <c r="D6" s="8" t="s">
        <v>1532</v>
      </c>
      <c r="E6" s="8" t="s">
        <v>451</v>
      </c>
      <c r="F6" s="8" t="s">
        <v>452</v>
      </c>
      <c r="G6" s="8" t="s">
        <v>211</v>
      </c>
      <c r="H6" s="8"/>
      <c r="I6" s="8"/>
      <c r="J6" s="8" t="s">
        <v>212</v>
      </c>
    </row>
    <row r="7" spans="1:10">
      <c r="A7" s="8" t="s">
        <v>1528</v>
      </c>
      <c r="B7" s="8" t="s">
        <v>583</v>
      </c>
      <c r="C7" s="8" t="s">
        <v>1533</v>
      </c>
      <c r="D7" s="8" t="s">
        <v>1534</v>
      </c>
      <c r="E7" s="8" t="s">
        <v>441</v>
      </c>
      <c r="F7" s="8"/>
      <c r="G7" s="8" t="s">
        <v>211</v>
      </c>
      <c r="H7" s="8"/>
      <c r="I7" s="8"/>
      <c r="J7" s="8" t="s">
        <v>212</v>
      </c>
    </row>
    <row r="8" spans="1:10">
      <c r="A8" s="8" t="s">
        <v>1528</v>
      </c>
      <c r="B8" s="8" t="s">
        <v>815</v>
      </c>
      <c r="C8" s="8" t="s">
        <v>1535</v>
      </c>
      <c r="D8" s="8" t="s">
        <v>1536</v>
      </c>
      <c r="E8" s="8" t="s">
        <v>362</v>
      </c>
      <c r="F8" s="8"/>
      <c r="G8" s="8" t="s">
        <v>211</v>
      </c>
      <c r="H8" s="8"/>
      <c r="I8" s="8"/>
      <c r="J8" s="8" t="s">
        <v>212</v>
      </c>
    </row>
    <row r="9" spans="1:10">
      <c r="A9" s="8" t="s">
        <v>1528</v>
      </c>
      <c r="B9" s="8" t="s">
        <v>1329</v>
      </c>
      <c r="C9" s="8" t="s">
        <v>1537</v>
      </c>
      <c r="D9" s="8" t="s">
        <v>1536</v>
      </c>
      <c r="E9" s="8" t="s">
        <v>362</v>
      </c>
      <c r="F9" s="8" t="s">
        <v>1330</v>
      </c>
      <c r="G9" s="8" t="s">
        <v>211</v>
      </c>
      <c r="H9" s="8"/>
      <c r="I9" s="8"/>
      <c r="J9" s="8" t="s">
        <v>212</v>
      </c>
    </row>
    <row r="10" spans="1:10">
      <c r="A10" s="8" t="s">
        <v>1528</v>
      </c>
      <c r="B10" s="8" t="s">
        <v>462</v>
      </c>
      <c r="C10" s="8" t="s">
        <v>1538</v>
      </c>
      <c r="D10" s="8" t="s">
        <v>1536</v>
      </c>
      <c r="E10" s="8" t="s">
        <v>362</v>
      </c>
      <c r="F10" s="8" t="s">
        <v>464</v>
      </c>
      <c r="G10" s="8" t="s">
        <v>211</v>
      </c>
      <c r="H10" s="8"/>
      <c r="I10" s="8"/>
      <c r="J10" s="8" t="s">
        <v>212</v>
      </c>
    </row>
    <row r="11" spans="1:10">
      <c r="A11" s="8" t="s">
        <v>1528</v>
      </c>
      <c r="B11" s="8" t="s">
        <v>456</v>
      </c>
      <c r="C11" s="8" t="s">
        <v>1539</v>
      </c>
      <c r="D11" s="8" t="s">
        <v>1534</v>
      </c>
      <c r="E11" s="8" t="s">
        <v>362</v>
      </c>
      <c r="F11" s="8" t="s">
        <v>458</v>
      </c>
      <c r="G11" s="8" t="s">
        <v>211</v>
      </c>
      <c r="H11" s="8"/>
      <c r="I11" s="8"/>
      <c r="J11" s="8" t="s">
        <v>212</v>
      </c>
    </row>
    <row r="12" spans="1:10">
      <c r="A12" s="8" t="s">
        <v>116</v>
      </c>
      <c r="B12" s="8" t="s">
        <v>359</v>
      </c>
      <c r="C12" s="8" t="s">
        <v>1540</v>
      </c>
      <c r="D12" s="8" t="s">
        <v>1541</v>
      </c>
      <c r="E12" s="8" t="s">
        <v>362</v>
      </c>
      <c r="F12" s="8"/>
      <c r="G12" s="8" t="s">
        <v>211</v>
      </c>
      <c r="H12" s="8" t="s">
        <v>1542</v>
      </c>
      <c r="I12" s="8" t="s">
        <v>1543</v>
      </c>
      <c r="J12" s="8" t="s">
        <v>211</v>
      </c>
    </row>
    <row r="13" spans="1:10">
      <c r="A13" s="8" t="s">
        <v>116</v>
      </c>
      <c r="B13" s="8" t="s">
        <v>369</v>
      </c>
      <c r="C13" s="8" t="s">
        <v>1544</v>
      </c>
      <c r="D13" s="8" t="s">
        <v>1541</v>
      </c>
      <c r="E13" s="8" t="s">
        <v>370</v>
      </c>
      <c r="F13" s="8"/>
      <c r="G13" s="8" t="s">
        <v>211</v>
      </c>
      <c r="H13" s="8" t="s">
        <v>1545</v>
      </c>
      <c r="I13" s="8" t="s">
        <v>1543</v>
      </c>
      <c r="J13" s="8" t="s">
        <v>211</v>
      </c>
    </row>
    <row r="14" spans="1:10">
      <c r="A14" s="8" t="s">
        <v>116</v>
      </c>
      <c r="B14" s="8" t="s">
        <v>410</v>
      </c>
      <c r="C14" s="8" t="s">
        <v>1546</v>
      </c>
      <c r="D14" s="8" t="s">
        <v>1541</v>
      </c>
      <c r="E14" s="8" t="s">
        <v>362</v>
      </c>
      <c r="F14" s="8"/>
      <c r="G14" s="8" t="s">
        <v>211</v>
      </c>
      <c r="H14" s="8" t="s">
        <v>1547</v>
      </c>
      <c r="I14" s="8" t="s">
        <v>1548</v>
      </c>
      <c r="J14" s="8" t="s">
        <v>211</v>
      </c>
    </row>
    <row r="15" spans="1:10">
      <c r="A15" s="8" t="s">
        <v>116</v>
      </c>
      <c r="B15" s="8" t="s">
        <v>415</v>
      </c>
      <c r="C15" s="8" t="s">
        <v>1549</v>
      </c>
      <c r="D15" s="8" t="s">
        <v>1541</v>
      </c>
      <c r="E15" s="8" t="s">
        <v>362</v>
      </c>
      <c r="F15" s="8"/>
      <c r="G15" s="8" t="s">
        <v>211</v>
      </c>
      <c r="H15" s="8" t="s">
        <v>1547</v>
      </c>
      <c r="I15" s="8" t="s">
        <v>1548</v>
      </c>
      <c r="J15" s="8" t="s">
        <v>211</v>
      </c>
    </row>
    <row r="16" spans="1:10">
      <c r="A16" s="8" t="s">
        <v>116</v>
      </c>
      <c r="B16" s="8" t="s">
        <v>419</v>
      </c>
      <c r="C16" s="8" t="s">
        <v>1550</v>
      </c>
      <c r="D16" s="8" t="s">
        <v>1541</v>
      </c>
      <c r="E16" s="8" t="s">
        <v>362</v>
      </c>
      <c r="F16" s="8"/>
      <c r="G16" s="8" t="s">
        <v>211</v>
      </c>
      <c r="H16" s="8" t="s">
        <v>1547</v>
      </c>
      <c r="I16" s="8" t="s">
        <v>1548</v>
      </c>
      <c r="J16" s="8" t="s">
        <v>211</v>
      </c>
    </row>
    <row r="17" spans="1:10">
      <c r="A17" s="8" t="s">
        <v>116</v>
      </c>
      <c r="B17" s="8" t="s">
        <v>374</v>
      </c>
      <c r="C17" s="8" t="s">
        <v>1551</v>
      </c>
      <c r="D17" s="8" t="s">
        <v>1552</v>
      </c>
      <c r="E17" s="8" t="s">
        <v>370</v>
      </c>
      <c r="F17" s="8" t="s">
        <v>375</v>
      </c>
      <c r="G17" s="8" t="s">
        <v>211</v>
      </c>
      <c r="H17" s="8" t="s">
        <v>1542</v>
      </c>
      <c r="I17" s="8" t="s">
        <v>1543</v>
      </c>
      <c r="J17" s="8" t="s">
        <v>211</v>
      </c>
    </row>
    <row r="18" spans="1:10">
      <c r="A18" s="8" t="s">
        <v>116</v>
      </c>
      <c r="B18" s="8" t="s">
        <v>380</v>
      </c>
      <c r="C18" s="8" t="s">
        <v>1553</v>
      </c>
      <c r="D18" s="8" t="s">
        <v>1552</v>
      </c>
      <c r="E18" s="8" t="s">
        <v>370</v>
      </c>
      <c r="F18" s="8" t="s">
        <v>375</v>
      </c>
      <c r="G18" s="8" t="s">
        <v>211</v>
      </c>
      <c r="H18" s="8" t="s">
        <v>1542</v>
      </c>
      <c r="I18" s="8" t="s">
        <v>1543</v>
      </c>
      <c r="J18" s="8" t="s">
        <v>211</v>
      </c>
    </row>
    <row r="19" spans="1:10">
      <c r="A19" s="8" t="s">
        <v>116</v>
      </c>
      <c r="B19" s="8" t="s">
        <v>385</v>
      </c>
      <c r="C19" s="8" t="s">
        <v>1554</v>
      </c>
      <c r="D19" s="8" t="s">
        <v>1552</v>
      </c>
      <c r="E19" s="8" t="s">
        <v>370</v>
      </c>
      <c r="F19" s="8" t="s">
        <v>375</v>
      </c>
      <c r="G19" s="8" t="s">
        <v>211</v>
      </c>
      <c r="H19" s="8" t="s">
        <v>1542</v>
      </c>
      <c r="I19" s="8" t="s">
        <v>1543</v>
      </c>
      <c r="J19" s="8" t="s">
        <v>211</v>
      </c>
    </row>
    <row r="20" spans="1:10">
      <c r="A20" s="8" t="s">
        <v>116</v>
      </c>
      <c r="B20" s="8" t="s">
        <v>390</v>
      </c>
      <c r="C20" s="8" t="s">
        <v>1555</v>
      </c>
      <c r="D20" s="8" t="s">
        <v>1541</v>
      </c>
      <c r="E20" s="8" t="s">
        <v>370</v>
      </c>
      <c r="F20" s="8" t="s">
        <v>391</v>
      </c>
      <c r="G20" s="8" t="s">
        <v>211</v>
      </c>
      <c r="H20" s="8" t="s">
        <v>1542</v>
      </c>
      <c r="I20" s="8" t="s">
        <v>1548</v>
      </c>
      <c r="J20" s="8" t="s">
        <v>211</v>
      </c>
    </row>
    <row r="21" spans="1:10">
      <c r="A21" s="8" t="s">
        <v>116</v>
      </c>
      <c r="B21" s="8" t="s">
        <v>423</v>
      </c>
      <c r="C21" s="8" t="s">
        <v>1556</v>
      </c>
      <c r="D21" s="8" t="s">
        <v>1541</v>
      </c>
      <c r="E21" s="8" t="s">
        <v>362</v>
      </c>
      <c r="F21" s="8"/>
      <c r="G21" s="8" t="s">
        <v>211</v>
      </c>
      <c r="H21" s="8" t="s">
        <v>1557</v>
      </c>
      <c r="I21" s="8" t="s">
        <v>1548</v>
      </c>
      <c r="J21" s="8" t="s">
        <v>211</v>
      </c>
    </row>
    <row r="22" spans="1:10">
      <c r="A22" s="8" t="s">
        <v>116</v>
      </c>
      <c r="B22" s="8" t="s">
        <v>428</v>
      </c>
      <c r="C22" s="8" t="s">
        <v>1558</v>
      </c>
      <c r="D22" s="8" t="s">
        <v>1541</v>
      </c>
      <c r="E22" s="8" t="s">
        <v>362</v>
      </c>
      <c r="F22" s="8" t="s">
        <v>430</v>
      </c>
      <c r="G22" s="8" t="s">
        <v>211</v>
      </c>
      <c r="H22" s="8" t="s">
        <v>1559</v>
      </c>
      <c r="I22" s="8" t="s">
        <v>1548</v>
      </c>
      <c r="J22" s="8" t="s">
        <v>211</v>
      </c>
    </row>
    <row r="23" spans="1:10">
      <c r="A23" s="8" t="s">
        <v>116</v>
      </c>
      <c r="B23" s="8" t="s">
        <v>405</v>
      </c>
      <c r="C23" s="8" t="s">
        <v>1560</v>
      </c>
      <c r="D23" s="8" t="s">
        <v>1561</v>
      </c>
      <c r="E23" s="8" t="s">
        <v>370</v>
      </c>
      <c r="F23" s="8"/>
      <c r="G23" s="8" t="s">
        <v>211</v>
      </c>
      <c r="H23" s="8" t="s">
        <v>1545</v>
      </c>
      <c r="I23" s="8" t="s">
        <v>1543</v>
      </c>
      <c r="J23" s="8" t="s">
        <v>211</v>
      </c>
    </row>
    <row r="24" spans="1:10">
      <c r="A24" s="8" t="s">
        <v>116</v>
      </c>
      <c r="B24" s="8" t="s">
        <v>1562</v>
      </c>
      <c r="C24" s="8" t="s">
        <v>1563</v>
      </c>
      <c r="D24" s="8" t="s">
        <v>1561</v>
      </c>
      <c r="E24" s="8" t="s">
        <v>370</v>
      </c>
      <c r="F24" s="8"/>
      <c r="G24" s="8" t="s">
        <v>211</v>
      </c>
      <c r="H24" s="8" t="s">
        <v>1564</v>
      </c>
      <c r="I24" s="8" t="s">
        <v>1565</v>
      </c>
      <c r="J24" s="8" t="s">
        <v>212</v>
      </c>
    </row>
    <row r="25" spans="1:10">
      <c r="A25" s="8" t="s">
        <v>116</v>
      </c>
      <c r="B25" s="8" t="s">
        <v>401</v>
      </c>
      <c r="C25" s="8" t="s">
        <v>1566</v>
      </c>
      <c r="D25" s="8" t="s">
        <v>1532</v>
      </c>
      <c r="E25" s="8" t="s">
        <v>362</v>
      </c>
      <c r="F25" s="8"/>
      <c r="G25" s="8" t="s">
        <v>211</v>
      </c>
      <c r="H25" s="8" t="s">
        <v>1545</v>
      </c>
      <c r="I25" s="8" t="s">
        <v>1543</v>
      </c>
      <c r="J25" s="8" t="s">
        <v>211</v>
      </c>
    </row>
    <row r="26" spans="1:10">
      <c r="A26" s="8" t="s">
        <v>116</v>
      </c>
      <c r="B26" s="8" t="s">
        <v>1567</v>
      </c>
      <c r="C26" s="8" t="s">
        <v>1568</v>
      </c>
      <c r="D26" s="8" t="s">
        <v>1532</v>
      </c>
      <c r="E26" s="8" t="s">
        <v>362</v>
      </c>
      <c r="F26" s="8"/>
      <c r="G26" s="8" t="s">
        <v>211</v>
      </c>
      <c r="H26" s="8" t="s">
        <v>1569</v>
      </c>
      <c r="I26" s="8" t="s">
        <v>1548</v>
      </c>
      <c r="J26" s="8" t="s">
        <v>211</v>
      </c>
    </row>
    <row r="27" spans="1:10">
      <c r="A27" s="8" t="s">
        <v>116</v>
      </c>
      <c r="B27" s="8" t="s">
        <v>434</v>
      </c>
      <c r="C27" s="8" t="s">
        <v>1570</v>
      </c>
      <c r="D27" s="8" t="s">
        <v>1571</v>
      </c>
      <c r="E27" s="8" t="s">
        <v>362</v>
      </c>
      <c r="F27" s="8"/>
      <c r="G27" s="8" t="s">
        <v>211</v>
      </c>
      <c r="H27" s="8" t="s">
        <v>1545</v>
      </c>
      <c r="I27" s="8" t="s">
        <v>1565</v>
      </c>
      <c r="J27" s="8" t="s">
        <v>212</v>
      </c>
    </row>
    <row r="28" spans="1:10">
      <c r="A28" s="8" t="s">
        <v>116</v>
      </c>
      <c r="B28" s="8" t="s">
        <v>439</v>
      </c>
      <c r="C28" s="8" t="s">
        <v>1572</v>
      </c>
      <c r="D28" s="8" t="s">
        <v>1571</v>
      </c>
      <c r="E28" s="8" t="s">
        <v>441</v>
      </c>
      <c r="F28" s="8"/>
      <c r="G28" s="8" t="s">
        <v>211</v>
      </c>
      <c r="H28" s="8" t="s">
        <v>1573</v>
      </c>
      <c r="I28" s="8" t="s">
        <v>1565</v>
      </c>
      <c r="J28" s="8" t="s">
        <v>212</v>
      </c>
    </row>
    <row r="29" spans="1:10">
      <c r="A29" s="8" t="s">
        <v>116</v>
      </c>
      <c r="B29" s="8" t="s">
        <v>445</v>
      </c>
      <c r="C29" s="8" t="s">
        <v>1574</v>
      </c>
      <c r="D29" s="8" t="s">
        <v>1571</v>
      </c>
      <c r="E29" s="8" t="s">
        <v>362</v>
      </c>
      <c r="F29" s="8"/>
      <c r="G29" s="8" t="s">
        <v>211</v>
      </c>
      <c r="H29" s="8" t="s">
        <v>1575</v>
      </c>
      <c r="I29" s="8" t="s">
        <v>1565</v>
      </c>
      <c r="J29" s="8" t="s">
        <v>212</v>
      </c>
    </row>
    <row r="30" spans="1:10">
      <c r="A30" s="8" t="s">
        <v>116</v>
      </c>
      <c r="B30" s="8" t="s">
        <v>1343</v>
      </c>
      <c r="C30" s="8" t="s">
        <v>1576</v>
      </c>
      <c r="D30" s="8" t="s">
        <v>1577</v>
      </c>
      <c r="E30" s="8" t="s">
        <v>362</v>
      </c>
      <c r="F30" s="8"/>
      <c r="G30" s="8" t="s">
        <v>211</v>
      </c>
      <c r="H30" s="8" t="s">
        <v>1578</v>
      </c>
      <c r="I30" s="8" t="s">
        <v>1565</v>
      </c>
      <c r="J30" s="8" t="s">
        <v>212</v>
      </c>
    </row>
    <row r="31" spans="1:10">
      <c r="A31" s="8" t="s">
        <v>132</v>
      </c>
      <c r="B31" s="8" t="s">
        <v>630</v>
      </c>
      <c r="C31" s="8" t="s">
        <v>1579</v>
      </c>
      <c r="D31" s="8" t="s">
        <v>1530</v>
      </c>
      <c r="E31" s="8" t="s">
        <v>362</v>
      </c>
      <c r="F31" s="8"/>
      <c r="G31" s="8" t="s">
        <v>211</v>
      </c>
      <c r="H31" s="8" t="s">
        <v>1580</v>
      </c>
      <c r="I31" s="8" t="s">
        <v>1543</v>
      </c>
      <c r="J31" s="8" t="s">
        <v>211</v>
      </c>
    </row>
    <row r="32" spans="1:10">
      <c r="A32" s="8" t="s">
        <v>132</v>
      </c>
      <c r="B32" s="8" t="s">
        <v>625</v>
      </c>
      <c r="C32" s="8" t="s">
        <v>1581</v>
      </c>
      <c r="D32" s="8" t="s">
        <v>1530</v>
      </c>
      <c r="E32" s="8" t="s">
        <v>362</v>
      </c>
      <c r="F32" s="8"/>
      <c r="G32" s="8" t="s">
        <v>211</v>
      </c>
      <c r="H32" s="8" t="s">
        <v>1582</v>
      </c>
      <c r="I32" s="8" t="s">
        <v>1543</v>
      </c>
      <c r="J32" s="8" t="s">
        <v>211</v>
      </c>
    </row>
    <row r="33" spans="1:10">
      <c r="A33" s="8" t="s">
        <v>132</v>
      </c>
      <c r="B33" s="8" t="s">
        <v>635</v>
      </c>
      <c r="C33" s="8" t="s">
        <v>1583</v>
      </c>
      <c r="D33" s="8" t="s">
        <v>1552</v>
      </c>
      <c r="E33" s="8" t="s">
        <v>451</v>
      </c>
      <c r="F33" s="8" t="s">
        <v>554</v>
      </c>
      <c r="G33" s="8" t="s">
        <v>211</v>
      </c>
      <c r="H33" s="8" t="s">
        <v>1584</v>
      </c>
      <c r="I33" s="8" t="s">
        <v>1543</v>
      </c>
      <c r="J33" s="8" t="s">
        <v>211</v>
      </c>
    </row>
    <row r="34" spans="1:10">
      <c r="A34" s="8" t="s">
        <v>132</v>
      </c>
      <c r="B34" s="8" t="s">
        <v>723</v>
      </c>
      <c r="C34" s="8" t="s">
        <v>1585</v>
      </c>
      <c r="D34" s="8" t="s">
        <v>1532</v>
      </c>
      <c r="E34" s="8" t="s">
        <v>362</v>
      </c>
      <c r="F34" s="8"/>
      <c r="G34" s="8" t="s">
        <v>211</v>
      </c>
      <c r="H34" s="8" t="s">
        <v>1586</v>
      </c>
      <c r="I34" s="8" t="s">
        <v>1543</v>
      </c>
      <c r="J34" s="8" t="s">
        <v>211</v>
      </c>
    </row>
    <row r="35" spans="1:10">
      <c r="A35" s="8" t="s">
        <v>132</v>
      </c>
      <c r="B35" s="8" t="s">
        <v>1170</v>
      </c>
      <c r="C35" s="8" t="s">
        <v>1587</v>
      </c>
      <c r="D35" s="8" t="s">
        <v>1532</v>
      </c>
      <c r="E35" s="8" t="s">
        <v>362</v>
      </c>
      <c r="F35" s="8"/>
      <c r="G35" s="8" t="s">
        <v>211</v>
      </c>
      <c r="H35" s="8" t="s">
        <v>1588</v>
      </c>
      <c r="I35" s="8" t="s">
        <v>1543</v>
      </c>
      <c r="J35" s="8" t="s">
        <v>211</v>
      </c>
    </row>
    <row r="36" spans="1:10">
      <c r="A36" s="8" t="s">
        <v>132</v>
      </c>
      <c r="B36" s="8" t="s">
        <v>1174</v>
      </c>
      <c r="C36" s="8" t="s">
        <v>1589</v>
      </c>
      <c r="D36" s="8" t="s">
        <v>1532</v>
      </c>
      <c r="E36" s="8" t="s">
        <v>362</v>
      </c>
      <c r="F36" s="8"/>
      <c r="G36" s="8" t="s">
        <v>211</v>
      </c>
      <c r="H36" s="8" t="s">
        <v>133</v>
      </c>
      <c r="I36" s="8" t="s">
        <v>1543</v>
      </c>
      <c r="J36" s="8" t="s">
        <v>211</v>
      </c>
    </row>
    <row r="37" spans="1:10">
      <c r="A37" s="8" t="s">
        <v>132</v>
      </c>
      <c r="B37" s="8" t="s">
        <v>1179</v>
      </c>
      <c r="C37" s="8" t="s">
        <v>1590</v>
      </c>
      <c r="D37" s="8" t="s">
        <v>1532</v>
      </c>
      <c r="E37" s="8" t="s">
        <v>451</v>
      </c>
      <c r="F37" s="8" t="s">
        <v>452</v>
      </c>
      <c r="G37" s="8" t="s">
        <v>211</v>
      </c>
      <c r="H37" s="8" t="s">
        <v>1588</v>
      </c>
      <c r="I37" s="8" t="s">
        <v>1543</v>
      </c>
      <c r="J37" s="8" t="s">
        <v>211</v>
      </c>
    </row>
    <row r="38" spans="1:10">
      <c r="A38" s="8" t="s">
        <v>132</v>
      </c>
      <c r="B38" s="8" t="s">
        <v>639</v>
      </c>
      <c r="C38" s="8" t="s">
        <v>1591</v>
      </c>
      <c r="D38" s="8" t="s">
        <v>1592</v>
      </c>
      <c r="E38" s="8" t="s">
        <v>370</v>
      </c>
      <c r="F38" s="8" t="s">
        <v>640</v>
      </c>
      <c r="G38" s="8" t="s">
        <v>211</v>
      </c>
      <c r="H38" s="8" t="s">
        <v>139</v>
      </c>
      <c r="I38" s="8" t="s">
        <v>1543</v>
      </c>
      <c r="J38" s="8" t="s">
        <v>211</v>
      </c>
    </row>
    <row r="39" spans="1:10">
      <c r="A39" s="8" t="s">
        <v>132</v>
      </c>
      <c r="B39" s="8" t="s">
        <v>644</v>
      </c>
      <c r="C39" s="8" t="s">
        <v>1593</v>
      </c>
      <c r="D39" s="8" t="s">
        <v>1592</v>
      </c>
      <c r="E39" s="8" t="s">
        <v>362</v>
      </c>
      <c r="F39" s="8"/>
      <c r="G39" s="8" t="s">
        <v>211</v>
      </c>
      <c r="H39" s="8" t="s">
        <v>1594</v>
      </c>
      <c r="I39" s="8" t="s">
        <v>1543</v>
      </c>
      <c r="J39" s="8" t="s">
        <v>211</v>
      </c>
    </row>
    <row r="40" spans="1:10">
      <c r="A40" s="8" t="s">
        <v>132</v>
      </c>
      <c r="B40" s="8" t="s">
        <v>649</v>
      </c>
      <c r="C40" s="8" t="s">
        <v>1595</v>
      </c>
      <c r="D40" s="8" t="s">
        <v>1592</v>
      </c>
      <c r="E40" s="8" t="s">
        <v>451</v>
      </c>
      <c r="F40" s="8" t="s">
        <v>650</v>
      </c>
      <c r="G40" s="8" t="s">
        <v>211</v>
      </c>
      <c r="H40" s="8" t="s">
        <v>1594</v>
      </c>
      <c r="I40" s="8" t="s">
        <v>1543</v>
      </c>
      <c r="J40" s="8" t="s">
        <v>211</v>
      </c>
    </row>
    <row r="41" spans="1:10">
      <c r="A41" s="8" t="s">
        <v>132</v>
      </c>
      <c r="B41" s="8" t="s">
        <v>949</v>
      </c>
      <c r="C41" s="8" t="s">
        <v>1596</v>
      </c>
      <c r="D41" s="8" t="s">
        <v>1534</v>
      </c>
      <c r="E41" s="8" t="s">
        <v>451</v>
      </c>
      <c r="F41" s="8" t="s">
        <v>950</v>
      </c>
      <c r="G41" s="8" t="s">
        <v>211</v>
      </c>
      <c r="H41" s="8" t="s">
        <v>141</v>
      </c>
      <c r="I41" s="8" t="s">
        <v>1543</v>
      </c>
      <c r="J41" s="8" t="s">
        <v>211</v>
      </c>
    </row>
    <row r="42" spans="1:10" ht="26">
      <c r="A42" s="8" t="s">
        <v>132</v>
      </c>
      <c r="B42" s="8" t="s">
        <v>654</v>
      </c>
      <c r="C42" s="8" t="s">
        <v>1597</v>
      </c>
      <c r="D42" s="8" t="s">
        <v>1598</v>
      </c>
      <c r="E42" s="8" t="s">
        <v>362</v>
      </c>
      <c r="F42" s="8"/>
      <c r="G42" s="8" t="s">
        <v>211</v>
      </c>
      <c r="H42" s="8" t="s">
        <v>1599</v>
      </c>
      <c r="I42" s="8" t="s">
        <v>1548</v>
      </c>
      <c r="J42" s="8" t="s">
        <v>211</v>
      </c>
    </row>
    <row r="43" spans="1:10">
      <c r="A43" s="8" t="s">
        <v>132</v>
      </c>
      <c r="B43" s="8" t="s">
        <v>1600</v>
      </c>
      <c r="C43" s="8" t="s">
        <v>1601</v>
      </c>
      <c r="D43" s="8" t="s">
        <v>1534</v>
      </c>
      <c r="E43" s="8" t="s">
        <v>362</v>
      </c>
      <c r="F43" s="8"/>
      <c r="G43" s="8" t="s">
        <v>211</v>
      </c>
      <c r="H43" s="8" t="s">
        <v>1602</v>
      </c>
      <c r="I43" s="8" t="s">
        <v>1543</v>
      </c>
      <c r="J43" s="8" t="s">
        <v>211</v>
      </c>
    </row>
    <row r="44" spans="1:10">
      <c r="A44" s="8" t="s">
        <v>132</v>
      </c>
      <c r="B44" s="8" t="s">
        <v>1603</v>
      </c>
      <c r="C44" s="8" t="s">
        <v>1604</v>
      </c>
      <c r="D44" s="8" t="s">
        <v>1534</v>
      </c>
      <c r="E44" s="8" t="s">
        <v>451</v>
      </c>
      <c r="F44" s="8" t="s">
        <v>1605</v>
      </c>
      <c r="G44" s="8" t="s">
        <v>211</v>
      </c>
      <c r="H44" s="8" t="s">
        <v>1606</v>
      </c>
      <c r="I44" s="8" t="s">
        <v>1548</v>
      </c>
      <c r="J44" s="8" t="s">
        <v>211</v>
      </c>
    </row>
    <row r="45" spans="1:10">
      <c r="A45" s="8" t="s">
        <v>132</v>
      </c>
      <c r="B45" s="8" t="s">
        <v>1607</v>
      </c>
      <c r="C45" s="8" t="s">
        <v>1558</v>
      </c>
      <c r="D45" s="8" t="s">
        <v>1541</v>
      </c>
      <c r="E45" s="8" t="s">
        <v>451</v>
      </c>
      <c r="F45" s="8" t="s">
        <v>430</v>
      </c>
      <c r="G45" s="8" t="s">
        <v>211</v>
      </c>
      <c r="H45" s="8" t="s">
        <v>147</v>
      </c>
      <c r="I45" s="8" t="s">
        <v>1543</v>
      </c>
      <c r="J45" s="8" t="s">
        <v>211</v>
      </c>
    </row>
    <row r="46" spans="1:10">
      <c r="A46" s="8" t="s">
        <v>132</v>
      </c>
      <c r="B46" s="8" t="s">
        <v>1608</v>
      </c>
      <c r="C46" s="8" t="s">
        <v>1609</v>
      </c>
      <c r="D46" s="8" t="s">
        <v>1541</v>
      </c>
      <c r="E46" s="8" t="s">
        <v>362</v>
      </c>
      <c r="F46" s="8"/>
      <c r="G46" s="8" t="s">
        <v>211</v>
      </c>
      <c r="H46" s="8" t="s">
        <v>147</v>
      </c>
      <c r="I46" s="8" t="s">
        <v>1543</v>
      </c>
      <c r="J46" s="8" t="s">
        <v>211</v>
      </c>
    </row>
    <row r="47" spans="1:10" ht="26">
      <c r="A47" s="8" t="s">
        <v>152</v>
      </c>
      <c r="B47" s="8" t="s">
        <v>468</v>
      </c>
      <c r="C47" s="8" t="s">
        <v>1610</v>
      </c>
      <c r="D47" s="8" t="s">
        <v>1530</v>
      </c>
      <c r="E47" s="8" t="s">
        <v>362</v>
      </c>
      <c r="F47" s="8"/>
      <c r="G47" s="8" t="s">
        <v>211</v>
      </c>
      <c r="H47" s="8" t="s">
        <v>1611</v>
      </c>
      <c r="I47" s="8" t="s">
        <v>1543</v>
      </c>
      <c r="J47" s="8" t="s">
        <v>211</v>
      </c>
    </row>
    <row r="48" spans="1:10" ht="26">
      <c r="A48" s="8" t="s">
        <v>152</v>
      </c>
      <c r="B48" s="8" t="s">
        <v>474</v>
      </c>
      <c r="C48" s="8" t="s">
        <v>1612</v>
      </c>
      <c r="D48" s="8" t="s">
        <v>1530</v>
      </c>
      <c r="E48" s="8" t="s">
        <v>362</v>
      </c>
      <c r="F48" s="8"/>
      <c r="G48" s="8" t="s">
        <v>211</v>
      </c>
      <c r="H48" s="8" t="s">
        <v>1611</v>
      </c>
      <c r="I48" s="8" t="s">
        <v>1543</v>
      </c>
      <c r="J48" s="8" t="s">
        <v>211</v>
      </c>
    </row>
    <row r="49" spans="1:10">
      <c r="A49" s="8" t="s">
        <v>152</v>
      </c>
      <c r="B49" s="8" t="s">
        <v>1473</v>
      </c>
      <c r="C49" s="8" t="s">
        <v>1613</v>
      </c>
      <c r="D49" s="8" t="s">
        <v>1530</v>
      </c>
      <c r="E49" s="8" t="s">
        <v>362</v>
      </c>
      <c r="F49" s="8"/>
      <c r="G49" s="8" t="s">
        <v>211</v>
      </c>
      <c r="H49" s="8" t="s">
        <v>1614</v>
      </c>
      <c r="I49" s="8" t="s">
        <v>1565</v>
      </c>
      <c r="J49" s="8" t="s">
        <v>212</v>
      </c>
    </row>
    <row r="50" spans="1:10" ht="26">
      <c r="A50" s="8" t="s">
        <v>152</v>
      </c>
      <c r="B50" s="8" t="s">
        <v>479</v>
      </c>
      <c r="C50" s="8" t="s">
        <v>1615</v>
      </c>
      <c r="D50" s="8" t="s">
        <v>1552</v>
      </c>
      <c r="E50" s="8" t="s">
        <v>451</v>
      </c>
      <c r="F50" s="8" t="s">
        <v>375</v>
      </c>
      <c r="G50" s="8" t="s">
        <v>211</v>
      </c>
      <c r="H50" s="8" t="s">
        <v>1611</v>
      </c>
      <c r="I50" s="8" t="s">
        <v>1543</v>
      </c>
      <c r="J50" s="8" t="s">
        <v>211</v>
      </c>
    </row>
    <row r="51" spans="1:10" ht="26">
      <c r="A51" s="8" t="s">
        <v>152</v>
      </c>
      <c r="B51" s="8" t="s">
        <v>484</v>
      </c>
      <c r="C51" s="8" t="s">
        <v>1616</v>
      </c>
      <c r="D51" s="8" t="s">
        <v>1552</v>
      </c>
      <c r="E51" s="8" t="s">
        <v>451</v>
      </c>
      <c r="F51" s="8" t="s">
        <v>375</v>
      </c>
      <c r="G51" s="8" t="s">
        <v>211</v>
      </c>
      <c r="H51" s="8" t="s">
        <v>1611</v>
      </c>
      <c r="I51" s="8" t="s">
        <v>1543</v>
      </c>
      <c r="J51" s="8" t="s">
        <v>211</v>
      </c>
    </row>
    <row r="52" spans="1:10" ht="26">
      <c r="A52" s="8" t="s">
        <v>152</v>
      </c>
      <c r="B52" s="8" t="s">
        <v>486</v>
      </c>
      <c r="C52" s="8" t="s">
        <v>1617</v>
      </c>
      <c r="D52" s="8" t="s">
        <v>1552</v>
      </c>
      <c r="E52" s="8" t="s">
        <v>451</v>
      </c>
      <c r="F52" s="8" t="s">
        <v>375</v>
      </c>
      <c r="G52" s="8" t="s">
        <v>211</v>
      </c>
      <c r="H52" s="8" t="s">
        <v>1611</v>
      </c>
      <c r="I52" s="8" t="s">
        <v>1543</v>
      </c>
      <c r="J52" s="8" t="s">
        <v>211</v>
      </c>
    </row>
    <row r="53" spans="1:10" ht="26">
      <c r="A53" s="8" t="s">
        <v>152</v>
      </c>
      <c r="B53" s="8" t="s">
        <v>488</v>
      </c>
      <c r="C53" s="8" t="s">
        <v>1618</v>
      </c>
      <c r="D53" s="8" t="s">
        <v>1561</v>
      </c>
      <c r="E53" s="8" t="s">
        <v>370</v>
      </c>
      <c r="F53" s="8"/>
      <c r="G53" s="8" t="s">
        <v>211</v>
      </c>
      <c r="H53" s="8" t="s">
        <v>1611</v>
      </c>
      <c r="I53" s="8" t="s">
        <v>1543</v>
      </c>
      <c r="J53" s="8" t="s">
        <v>211</v>
      </c>
    </row>
    <row r="54" spans="1:10">
      <c r="A54" s="8" t="s">
        <v>152</v>
      </c>
      <c r="B54" s="8" t="s">
        <v>497</v>
      </c>
      <c r="C54" s="8" t="s">
        <v>1619</v>
      </c>
      <c r="D54" s="8" t="s">
        <v>1561</v>
      </c>
      <c r="E54" s="8" t="s">
        <v>370</v>
      </c>
      <c r="F54" s="8"/>
      <c r="G54" s="8" t="s">
        <v>211</v>
      </c>
      <c r="H54" s="8" t="s">
        <v>1620</v>
      </c>
      <c r="I54" s="8" t="s">
        <v>1548</v>
      </c>
      <c r="J54" s="8" t="s">
        <v>211</v>
      </c>
    </row>
    <row r="55" spans="1:10">
      <c r="A55" s="8" t="s">
        <v>152</v>
      </c>
      <c r="B55" s="8" t="s">
        <v>501</v>
      </c>
      <c r="C55" s="8" t="s">
        <v>1621</v>
      </c>
      <c r="D55" s="8" t="s">
        <v>1622</v>
      </c>
      <c r="E55" s="8" t="s">
        <v>441</v>
      </c>
      <c r="F55" s="8"/>
      <c r="G55" s="8" t="s">
        <v>211</v>
      </c>
      <c r="H55" s="8" t="s">
        <v>1620</v>
      </c>
      <c r="I55" s="8" t="s">
        <v>1548</v>
      </c>
      <c r="J55" s="8" t="s">
        <v>211</v>
      </c>
    </row>
    <row r="56" spans="1:10">
      <c r="A56" s="8" t="s">
        <v>152</v>
      </c>
      <c r="B56" s="8" t="s">
        <v>505</v>
      </c>
      <c r="C56" s="8" t="s">
        <v>1623</v>
      </c>
      <c r="D56" s="8" t="s">
        <v>1622</v>
      </c>
      <c r="E56" s="8" t="s">
        <v>362</v>
      </c>
      <c r="F56" s="8"/>
      <c r="G56" s="8" t="s">
        <v>211</v>
      </c>
      <c r="H56" s="8" t="s">
        <v>1620</v>
      </c>
      <c r="I56" s="8" t="s">
        <v>1548</v>
      </c>
      <c r="J56" s="8" t="s">
        <v>211</v>
      </c>
    </row>
    <row r="57" spans="1:10">
      <c r="A57" s="8" t="s">
        <v>152</v>
      </c>
      <c r="B57" s="8" t="s">
        <v>507</v>
      </c>
      <c r="C57" s="8" t="s">
        <v>1624</v>
      </c>
      <c r="D57" s="8" t="s">
        <v>1577</v>
      </c>
      <c r="E57" s="8" t="s">
        <v>362</v>
      </c>
      <c r="F57" s="8"/>
      <c r="G57" s="8" t="s">
        <v>211</v>
      </c>
      <c r="H57" s="8" t="s">
        <v>1620</v>
      </c>
      <c r="I57" s="8" t="s">
        <v>1548</v>
      </c>
      <c r="J57" s="8" t="s">
        <v>211</v>
      </c>
    </row>
    <row r="58" spans="1:10" ht="26">
      <c r="A58" s="8" t="s">
        <v>152</v>
      </c>
      <c r="B58" s="8" t="s">
        <v>492</v>
      </c>
      <c r="C58" s="8" t="s">
        <v>1625</v>
      </c>
      <c r="D58" s="8" t="s">
        <v>1577</v>
      </c>
      <c r="E58" s="8" t="s">
        <v>362</v>
      </c>
      <c r="F58" s="8"/>
      <c r="G58" s="8" t="s">
        <v>211</v>
      </c>
      <c r="H58" s="8" t="s">
        <v>1611</v>
      </c>
      <c r="I58" s="8" t="s">
        <v>1543</v>
      </c>
      <c r="J58" s="8" t="s">
        <v>211</v>
      </c>
    </row>
    <row r="59" spans="1:10">
      <c r="A59" s="8" t="s">
        <v>152</v>
      </c>
      <c r="B59" s="8" t="s">
        <v>512</v>
      </c>
      <c r="C59" s="8" t="s">
        <v>1626</v>
      </c>
      <c r="D59" s="8" t="s">
        <v>1571</v>
      </c>
      <c r="E59" s="8" t="s">
        <v>362</v>
      </c>
      <c r="F59" s="8"/>
      <c r="G59" s="8" t="s">
        <v>211</v>
      </c>
      <c r="H59" s="8" t="s">
        <v>1627</v>
      </c>
      <c r="I59" s="8" t="s">
        <v>1548</v>
      </c>
      <c r="J59" s="8" t="s">
        <v>211</v>
      </c>
    </row>
    <row r="60" spans="1:10">
      <c r="A60" s="8" t="s">
        <v>152</v>
      </c>
      <c r="B60" s="8" t="s">
        <v>1216</v>
      </c>
      <c r="C60" s="8" t="s">
        <v>1628</v>
      </c>
      <c r="D60" s="8" t="s">
        <v>1541</v>
      </c>
      <c r="E60" s="8" t="s">
        <v>362</v>
      </c>
      <c r="F60" s="8"/>
      <c r="G60" s="8" t="s">
        <v>211</v>
      </c>
      <c r="H60" s="8" t="s">
        <v>1629</v>
      </c>
      <c r="I60" s="8" t="s">
        <v>1548</v>
      </c>
      <c r="J60" s="8" t="s">
        <v>211</v>
      </c>
    </row>
    <row r="61" spans="1:10">
      <c r="A61" s="8" t="s">
        <v>152</v>
      </c>
      <c r="B61" s="8" t="s">
        <v>1220</v>
      </c>
      <c r="C61" s="8" t="s">
        <v>1540</v>
      </c>
      <c r="D61" s="8" t="s">
        <v>1541</v>
      </c>
      <c r="E61" s="8" t="s">
        <v>362</v>
      </c>
      <c r="F61" s="8"/>
      <c r="G61" s="8" t="s">
        <v>211</v>
      </c>
      <c r="H61" s="8" t="s">
        <v>1629</v>
      </c>
      <c r="I61" s="8" t="s">
        <v>1548</v>
      </c>
      <c r="J61" s="8" t="s">
        <v>211</v>
      </c>
    </row>
    <row r="62" spans="1:10">
      <c r="A62" s="8" t="s">
        <v>152</v>
      </c>
      <c r="B62" s="8" t="s">
        <v>1224</v>
      </c>
      <c r="C62" s="8" t="s">
        <v>1630</v>
      </c>
      <c r="D62" s="8" t="s">
        <v>1541</v>
      </c>
      <c r="E62" s="8" t="s">
        <v>451</v>
      </c>
      <c r="F62" s="8" t="s">
        <v>375</v>
      </c>
      <c r="G62" s="8" t="s">
        <v>211</v>
      </c>
      <c r="H62" s="8" t="s">
        <v>155</v>
      </c>
      <c r="I62" s="8" t="s">
        <v>1543</v>
      </c>
      <c r="J62" s="8" t="s">
        <v>211</v>
      </c>
    </row>
    <row r="63" spans="1:10">
      <c r="A63" s="8" t="s">
        <v>152</v>
      </c>
      <c r="B63" s="8" t="s">
        <v>1631</v>
      </c>
      <c r="C63" s="8" t="s">
        <v>1632</v>
      </c>
      <c r="D63" s="8" t="s">
        <v>1633</v>
      </c>
      <c r="E63" s="8" t="s">
        <v>362</v>
      </c>
      <c r="F63" s="8"/>
      <c r="G63" s="8" t="s">
        <v>211</v>
      </c>
      <c r="H63" s="8" t="s">
        <v>1634</v>
      </c>
      <c r="I63" s="8" t="s">
        <v>1543</v>
      </c>
      <c r="J63" s="8" t="s">
        <v>211</v>
      </c>
    </row>
    <row r="64" spans="1:10">
      <c r="A64" s="8" t="s">
        <v>152</v>
      </c>
      <c r="B64" s="8" t="s">
        <v>1635</v>
      </c>
      <c r="C64" s="8" t="s">
        <v>1636</v>
      </c>
      <c r="D64" s="8" t="s">
        <v>1633</v>
      </c>
      <c r="E64" s="8" t="s">
        <v>362</v>
      </c>
      <c r="F64" s="8"/>
      <c r="G64" s="8" t="s">
        <v>211</v>
      </c>
      <c r="H64" s="8" t="s">
        <v>1634</v>
      </c>
      <c r="I64" s="8" t="s">
        <v>1543</v>
      </c>
      <c r="J64" s="8" t="s">
        <v>211</v>
      </c>
    </row>
    <row r="65" spans="1:10">
      <c r="A65" s="8" t="s">
        <v>152</v>
      </c>
      <c r="B65" s="8" t="s">
        <v>1637</v>
      </c>
      <c r="C65" s="8" t="s">
        <v>1638</v>
      </c>
      <c r="D65" s="8" t="s">
        <v>1633</v>
      </c>
      <c r="E65" s="8" t="s">
        <v>451</v>
      </c>
      <c r="F65" s="8" t="s">
        <v>375</v>
      </c>
      <c r="G65" s="8" t="s">
        <v>211</v>
      </c>
      <c r="H65" s="8" t="s">
        <v>1634</v>
      </c>
      <c r="I65" s="8" t="s">
        <v>1543</v>
      </c>
      <c r="J65" s="8" t="s">
        <v>211</v>
      </c>
    </row>
    <row r="66" spans="1:10">
      <c r="A66" s="8" t="s">
        <v>152</v>
      </c>
      <c r="B66" s="8" t="s">
        <v>1463</v>
      </c>
      <c r="C66" s="8" t="s">
        <v>1639</v>
      </c>
      <c r="D66" s="8" t="s">
        <v>1640</v>
      </c>
      <c r="E66" s="8" t="s">
        <v>370</v>
      </c>
      <c r="F66" s="8"/>
      <c r="G66" s="8" t="s">
        <v>211</v>
      </c>
      <c r="H66" s="8" t="s">
        <v>161</v>
      </c>
      <c r="I66" s="8" t="s">
        <v>1543</v>
      </c>
      <c r="J66" s="8" t="s">
        <v>211</v>
      </c>
    </row>
    <row r="67" spans="1:10">
      <c r="A67" s="8" t="s">
        <v>152</v>
      </c>
      <c r="B67" s="8" t="s">
        <v>1466</v>
      </c>
      <c r="C67" s="8" t="s">
        <v>1641</v>
      </c>
      <c r="D67" s="8" t="s">
        <v>1640</v>
      </c>
      <c r="E67" s="8" t="s">
        <v>451</v>
      </c>
      <c r="F67" s="8" t="s">
        <v>452</v>
      </c>
      <c r="G67" s="8" t="s">
        <v>211</v>
      </c>
      <c r="H67" s="8" t="s">
        <v>161</v>
      </c>
      <c r="I67" s="8" t="s">
        <v>1543</v>
      </c>
      <c r="J67" s="8" t="s">
        <v>211</v>
      </c>
    </row>
    <row r="68" spans="1:10">
      <c r="A68" s="8" t="s">
        <v>164</v>
      </c>
      <c r="B68" s="8" t="s">
        <v>550</v>
      </c>
      <c r="C68" s="8" t="s">
        <v>1642</v>
      </c>
      <c r="D68" s="8" t="s">
        <v>1530</v>
      </c>
      <c r="E68" s="8" t="s">
        <v>362</v>
      </c>
      <c r="F68" s="8"/>
      <c r="G68" s="8" t="s">
        <v>211</v>
      </c>
      <c r="H68" s="8" t="s">
        <v>1643</v>
      </c>
      <c r="I68" s="8" t="s">
        <v>1543</v>
      </c>
      <c r="J68" s="8" t="s">
        <v>211</v>
      </c>
    </row>
    <row r="69" spans="1:10">
      <c r="A69" s="8" t="s">
        <v>164</v>
      </c>
      <c r="B69" s="8" t="s">
        <v>564</v>
      </c>
      <c r="C69" s="8" t="s">
        <v>1644</v>
      </c>
      <c r="D69" s="8" t="s">
        <v>1640</v>
      </c>
      <c r="E69" s="8" t="s">
        <v>362</v>
      </c>
      <c r="F69" s="8"/>
      <c r="G69" s="8" t="s">
        <v>211</v>
      </c>
      <c r="H69" s="8" t="s">
        <v>1643</v>
      </c>
      <c r="I69" s="8" t="s">
        <v>1543</v>
      </c>
      <c r="J69" s="8" t="s">
        <v>211</v>
      </c>
    </row>
    <row r="70" spans="1:10">
      <c r="A70" s="8" t="s">
        <v>164</v>
      </c>
      <c r="B70" s="8" t="s">
        <v>567</v>
      </c>
      <c r="C70" s="8" t="s">
        <v>1645</v>
      </c>
      <c r="D70" s="8" t="s">
        <v>1640</v>
      </c>
      <c r="E70" s="8" t="s">
        <v>370</v>
      </c>
      <c r="F70" s="8"/>
      <c r="G70" s="8" t="s">
        <v>211</v>
      </c>
      <c r="H70" s="8" t="s">
        <v>1643</v>
      </c>
      <c r="I70" s="8" t="s">
        <v>1543</v>
      </c>
      <c r="J70" s="8" t="s">
        <v>211</v>
      </c>
    </row>
    <row r="71" spans="1:10">
      <c r="A71" s="8" t="s">
        <v>164</v>
      </c>
      <c r="B71" s="8" t="s">
        <v>569</v>
      </c>
      <c r="C71" s="8" t="s">
        <v>1646</v>
      </c>
      <c r="D71" s="8" t="s">
        <v>1640</v>
      </c>
      <c r="E71" s="8" t="s">
        <v>451</v>
      </c>
      <c r="F71" s="8" t="s">
        <v>452</v>
      </c>
      <c r="G71" s="8" t="s">
        <v>211</v>
      </c>
      <c r="H71" s="8" t="s">
        <v>1643</v>
      </c>
      <c r="I71" s="8" t="s">
        <v>1543</v>
      </c>
      <c r="J71" s="8" t="s">
        <v>211</v>
      </c>
    </row>
    <row r="72" spans="1:10">
      <c r="A72" s="8" t="s">
        <v>164</v>
      </c>
      <c r="B72" s="8" t="s">
        <v>1647</v>
      </c>
      <c r="C72" s="8" t="s">
        <v>1648</v>
      </c>
      <c r="D72" s="8" t="s">
        <v>1640</v>
      </c>
      <c r="E72" s="8" t="s">
        <v>451</v>
      </c>
      <c r="F72" s="8" t="s">
        <v>452</v>
      </c>
      <c r="G72" s="8" t="s">
        <v>211</v>
      </c>
      <c r="H72" s="8" t="s">
        <v>1649</v>
      </c>
      <c r="I72" s="8" t="s">
        <v>1543</v>
      </c>
      <c r="J72" s="8" t="s">
        <v>211</v>
      </c>
    </row>
    <row r="73" spans="1:10">
      <c r="A73" s="8" t="s">
        <v>164</v>
      </c>
      <c r="B73" s="8" t="s">
        <v>1650</v>
      </c>
      <c r="C73" s="8" t="s">
        <v>1651</v>
      </c>
      <c r="D73" s="8" t="s">
        <v>1532</v>
      </c>
      <c r="E73" s="8" t="s">
        <v>441</v>
      </c>
      <c r="F73" s="8"/>
      <c r="G73" s="8" t="s">
        <v>211</v>
      </c>
      <c r="H73" s="8" t="s">
        <v>1649</v>
      </c>
      <c r="I73" s="8" t="s">
        <v>1565</v>
      </c>
      <c r="J73" s="8" t="s">
        <v>212</v>
      </c>
    </row>
    <row r="74" spans="1:10">
      <c r="A74" s="8" t="s">
        <v>164</v>
      </c>
      <c r="B74" s="8" t="s">
        <v>553</v>
      </c>
      <c r="C74" s="8" t="s">
        <v>1652</v>
      </c>
      <c r="D74" s="8" t="s">
        <v>1552</v>
      </c>
      <c r="E74" s="8" t="s">
        <v>451</v>
      </c>
      <c r="F74" s="8" t="s">
        <v>554</v>
      </c>
      <c r="G74" s="8" t="s">
        <v>211</v>
      </c>
      <c r="H74" s="8" t="s">
        <v>1643</v>
      </c>
      <c r="I74" s="8" t="s">
        <v>1543</v>
      </c>
      <c r="J74" s="8" t="s">
        <v>211</v>
      </c>
    </row>
    <row r="75" spans="1:10">
      <c r="A75" s="8" t="s">
        <v>164</v>
      </c>
      <c r="B75" s="8" t="s">
        <v>558</v>
      </c>
      <c r="C75" s="8" t="s">
        <v>1653</v>
      </c>
      <c r="D75" s="8" t="s">
        <v>1552</v>
      </c>
      <c r="E75" s="8" t="s">
        <v>451</v>
      </c>
      <c r="F75" s="8" t="s">
        <v>559</v>
      </c>
      <c r="G75" s="8" t="s">
        <v>211</v>
      </c>
      <c r="H75" s="8" t="s">
        <v>1643</v>
      </c>
      <c r="I75" s="8" t="s">
        <v>1543</v>
      </c>
      <c r="J75" s="8" t="s">
        <v>211</v>
      </c>
    </row>
    <row r="76" spans="1:10">
      <c r="A76" s="8" t="s">
        <v>164</v>
      </c>
      <c r="B76" s="8" t="s">
        <v>762</v>
      </c>
      <c r="C76" s="8" t="s">
        <v>1654</v>
      </c>
      <c r="D76" s="8" t="s">
        <v>1561</v>
      </c>
      <c r="E76" s="8" t="s">
        <v>362</v>
      </c>
      <c r="F76" s="8"/>
      <c r="G76" s="8" t="s">
        <v>211</v>
      </c>
      <c r="H76" s="8" t="s">
        <v>1655</v>
      </c>
      <c r="I76" s="8" t="s">
        <v>1565</v>
      </c>
      <c r="J76" s="8" t="s">
        <v>212</v>
      </c>
    </row>
    <row r="77" spans="1:10">
      <c r="A77" s="8" t="s">
        <v>164</v>
      </c>
      <c r="B77" s="8" t="s">
        <v>1656</v>
      </c>
      <c r="C77" s="8" t="s">
        <v>1657</v>
      </c>
      <c r="D77" s="8" t="s">
        <v>1561</v>
      </c>
      <c r="E77" s="8" t="s">
        <v>451</v>
      </c>
      <c r="F77" s="8" t="s">
        <v>1658</v>
      </c>
      <c r="G77" s="8" t="s">
        <v>211</v>
      </c>
      <c r="H77" s="8" t="s">
        <v>1649</v>
      </c>
      <c r="I77" s="8" t="s">
        <v>1565</v>
      </c>
      <c r="J77" s="8" t="s">
        <v>212</v>
      </c>
    </row>
    <row r="78" spans="1:10">
      <c r="A78" s="8" t="s">
        <v>164</v>
      </c>
      <c r="B78" s="8" t="s">
        <v>1659</v>
      </c>
      <c r="C78" s="8" t="s">
        <v>1660</v>
      </c>
      <c r="D78" s="8" t="s">
        <v>1561</v>
      </c>
      <c r="E78" s="8" t="s">
        <v>370</v>
      </c>
      <c r="F78" s="8" t="s">
        <v>1661</v>
      </c>
      <c r="G78" s="8" t="s">
        <v>211</v>
      </c>
      <c r="H78" s="8" t="s">
        <v>1649</v>
      </c>
      <c r="I78" s="8" t="s">
        <v>1565</v>
      </c>
      <c r="J78" s="8" t="s">
        <v>212</v>
      </c>
    </row>
    <row r="79" spans="1:10">
      <c r="A79" s="8" t="s">
        <v>164</v>
      </c>
      <c r="B79" s="8" t="s">
        <v>767</v>
      </c>
      <c r="C79" s="8" t="s">
        <v>1662</v>
      </c>
      <c r="D79" s="8" t="s">
        <v>1561</v>
      </c>
      <c r="E79" s="8" t="s">
        <v>370</v>
      </c>
      <c r="F79" s="8"/>
      <c r="G79" s="8" t="s">
        <v>211</v>
      </c>
      <c r="H79" s="8" t="s">
        <v>1655</v>
      </c>
      <c r="I79" s="8" t="s">
        <v>1565</v>
      </c>
      <c r="J79" s="8" t="s">
        <v>212</v>
      </c>
    </row>
    <row r="80" spans="1:10">
      <c r="A80" s="8" t="s">
        <v>164</v>
      </c>
      <c r="B80" s="8" t="s">
        <v>769</v>
      </c>
      <c r="C80" s="8" t="s">
        <v>1663</v>
      </c>
      <c r="D80" s="8" t="s">
        <v>1664</v>
      </c>
      <c r="E80" s="8" t="s">
        <v>362</v>
      </c>
      <c r="F80" s="8"/>
      <c r="G80" s="8" t="s">
        <v>211</v>
      </c>
      <c r="H80" s="8" t="s">
        <v>1643</v>
      </c>
      <c r="I80" s="8" t="s">
        <v>1565</v>
      </c>
      <c r="J80" s="8" t="s">
        <v>212</v>
      </c>
    </row>
    <row r="81" spans="1:10">
      <c r="A81" s="8" t="s">
        <v>164</v>
      </c>
      <c r="B81" s="8" t="s">
        <v>857</v>
      </c>
      <c r="C81" s="8" t="s">
        <v>1665</v>
      </c>
      <c r="D81" s="8" t="s">
        <v>1664</v>
      </c>
      <c r="E81" s="8" t="s">
        <v>362</v>
      </c>
      <c r="F81" s="8"/>
      <c r="G81" s="8" t="s">
        <v>211</v>
      </c>
      <c r="H81" s="8" t="s">
        <v>1666</v>
      </c>
      <c r="I81" s="8" t="s">
        <v>1565</v>
      </c>
      <c r="J81" s="8" t="s">
        <v>212</v>
      </c>
    </row>
    <row r="82" spans="1:10">
      <c r="A82" s="8" t="s">
        <v>164</v>
      </c>
      <c r="B82" s="8" t="s">
        <v>929</v>
      </c>
      <c r="C82" s="8" t="s">
        <v>1667</v>
      </c>
      <c r="D82" s="8" t="s">
        <v>1664</v>
      </c>
      <c r="E82" s="8" t="s">
        <v>362</v>
      </c>
      <c r="F82" s="8"/>
      <c r="G82" s="8" t="s">
        <v>211</v>
      </c>
      <c r="H82" s="8" t="s">
        <v>1668</v>
      </c>
      <c r="I82" s="8" t="s">
        <v>1565</v>
      </c>
      <c r="J82" s="8" t="s">
        <v>212</v>
      </c>
    </row>
    <row r="83" spans="1:10">
      <c r="A83" s="8" t="s">
        <v>164</v>
      </c>
      <c r="B83" s="8" t="s">
        <v>777</v>
      </c>
      <c r="C83" s="8" t="s">
        <v>1669</v>
      </c>
      <c r="D83" s="8" t="s">
        <v>1577</v>
      </c>
      <c r="E83" s="8" t="s">
        <v>362</v>
      </c>
      <c r="F83" s="8"/>
      <c r="G83" s="8" t="s">
        <v>211</v>
      </c>
      <c r="H83" s="8" t="s">
        <v>1655</v>
      </c>
      <c r="I83" s="8" t="s">
        <v>1565</v>
      </c>
      <c r="J83" s="8" t="s">
        <v>212</v>
      </c>
    </row>
    <row r="84" spans="1:10">
      <c r="A84" s="8" t="s">
        <v>164</v>
      </c>
      <c r="B84" s="8" t="s">
        <v>779</v>
      </c>
      <c r="C84" s="8" t="s">
        <v>1670</v>
      </c>
      <c r="D84" s="8" t="s">
        <v>1571</v>
      </c>
      <c r="E84" s="8" t="s">
        <v>362</v>
      </c>
      <c r="F84" s="8"/>
      <c r="G84" s="8" t="s">
        <v>211</v>
      </c>
      <c r="H84" s="8" t="s">
        <v>1643</v>
      </c>
      <c r="I84" s="8" t="s">
        <v>1565</v>
      </c>
      <c r="J84" s="8" t="s">
        <v>212</v>
      </c>
    </row>
    <row r="85" spans="1:10">
      <c r="A85" s="8" t="s">
        <v>164</v>
      </c>
      <c r="B85" s="8" t="s">
        <v>1671</v>
      </c>
      <c r="C85" s="8" t="s">
        <v>1672</v>
      </c>
      <c r="D85" s="8" t="s">
        <v>1530</v>
      </c>
      <c r="E85" s="8" t="s">
        <v>362</v>
      </c>
      <c r="F85" s="8"/>
      <c r="G85" s="8" t="s">
        <v>211</v>
      </c>
      <c r="H85" s="8" t="s">
        <v>1649</v>
      </c>
      <c r="I85" s="8" t="s">
        <v>1565</v>
      </c>
      <c r="J85" s="8" t="s">
        <v>212</v>
      </c>
    </row>
    <row r="86" spans="1:10">
      <c r="A86" s="8" t="s">
        <v>164</v>
      </c>
      <c r="B86" s="8" t="s">
        <v>1673</v>
      </c>
      <c r="C86" s="8" t="s">
        <v>1674</v>
      </c>
      <c r="D86" s="8" t="s">
        <v>1530</v>
      </c>
      <c r="E86" s="8" t="s">
        <v>362</v>
      </c>
      <c r="F86" s="8"/>
      <c r="G86" s="8" t="s">
        <v>211</v>
      </c>
      <c r="H86" s="8" t="s">
        <v>1649</v>
      </c>
      <c r="I86" s="8" t="s">
        <v>1565</v>
      </c>
      <c r="J86" s="8" t="s">
        <v>212</v>
      </c>
    </row>
    <row r="87" spans="1:10">
      <c r="A87" s="8" t="s">
        <v>164</v>
      </c>
      <c r="B87" s="8" t="s">
        <v>1675</v>
      </c>
      <c r="C87" s="8" t="s">
        <v>1676</v>
      </c>
      <c r="D87" s="8" t="s">
        <v>1530</v>
      </c>
      <c r="E87" s="8" t="s">
        <v>362</v>
      </c>
      <c r="F87" s="8"/>
      <c r="G87" s="8" t="s">
        <v>211</v>
      </c>
      <c r="H87" s="8" t="s">
        <v>1649</v>
      </c>
      <c r="I87" s="8" t="s">
        <v>1565</v>
      </c>
      <c r="J87" s="8" t="s">
        <v>212</v>
      </c>
    </row>
    <row r="88" spans="1:10">
      <c r="A88" s="8" t="s">
        <v>164</v>
      </c>
      <c r="B88" s="8" t="s">
        <v>1677</v>
      </c>
      <c r="C88" s="8" t="s">
        <v>1678</v>
      </c>
      <c r="D88" s="8" t="s">
        <v>1679</v>
      </c>
      <c r="E88" s="8" t="s">
        <v>362</v>
      </c>
      <c r="F88" s="8"/>
      <c r="G88" s="8" t="s">
        <v>211</v>
      </c>
      <c r="H88" s="8" t="s">
        <v>1649</v>
      </c>
      <c r="I88" s="8" t="s">
        <v>1565</v>
      </c>
      <c r="J88" s="8" t="s">
        <v>212</v>
      </c>
    </row>
    <row r="89" spans="1:10">
      <c r="A89" s="8" t="s">
        <v>164</v>
      </c>
      <c r="B89" s="8" t="s">
        <v>1680</v>
      </c>
      <c r="C89" s="8" t="s">
        <v>1681</v>
      </c>
      <c r="D89" s="8" t="s">
        <v>1679</v>
      </c>
      <c r="E89" s="8" t="s">
        <v>362</v>
      </c>
      <c r="F89" s="8"/>
      <c r="G89" s="8" t="s">
        <v>211</v>
      </c>
      <c r="H89" s="8" t="s">
        <v>1649</v>
      </c>
      <c r="I89" s="8" t="s">
        <v>1565</v>
      </c>
      <c r="J89" s="8" t="s">
        <v>212</v>
      </c>
    </row>
    <row r="90" spans="1:10">
      <c r="A90" s="8" t="s">
        <v>164</v>
      </c>
      <c r="B90" s="8" t="s">
        <v>1682</v>
      </c>
      <c r="C90" s="8" t="s">
        <v>1683</v>
      </c>
      <c r="D90" s="8" t="s">
        <v>1679</v>
      </c>
      <c r="E90" s="8" t="s">
        <v>362</v>
      </c>
      <c r="F90" s="8"/>
      <c r="G90" s="8" t="s">
        <v>211</v>
      </c>
      <c r="H90" s="8" t="s">
        <v>1649</v>
      </c>
      <c r="I90" s="8" t="s">
        <v>1565</v>
      </c>
      <c r="J90" s="8" t="s">
        <v>212</v>
      </c>
    </row>
    <row r="91" spans="1:10">
      <c r="A91" s="8" t="s">
        <v>164</v>
      </c>
      <c r="B91" s="8" t="s">
        <v>135</v>
      </c>
      <c r="C91" s="8" t="s">
        <v>136</v>
      </c>
      <c r="D91" s="8" t="s">
        <v>1532</v>
      </c>
      <c r="E91" s="8" t="s">
        <v>362</v>
      </c>
      <c r="F91" s="8"/>
      <c r="G91" s="8" t="s">
        <v>211</v>
      </c>
      <c r="H91" s="8" t="s">
        <v>1649</v>
      </c>
      <c r="I91" s="8" t="s">
        <v>1565</v>
      </c>
      <c r="J91" s="8" t="s">
        <v>212</v>
      </c>
    </row>
    <row r="92" spans="1:10">
      <c r="A92" s="8" t="s">
        <v>164</v>
      </c>
      <c r="B92" s="8" t="s">
        <v>1684</v>
      </c>
      <c r="C92" s="8" t="s">
        <v>1685</v>
      </c>
      <c r="D92" s="8" t="s">
        <v>1534</v>
      </c>
      <c r="E92" s="8" t="s">
        <v>362</v>
      </c>
      <c r="F92" s="8"/>
      <c r="G92" s="8" t="s">
        <v>211</v>
      </c>
      <c r="H92" s="8" t="s">
        <v>1649</v>
      </c>
      <c r="I92" s="8" t="s">
        <v>1565</v>
      </c>
      <c r="J92" s="8" t="s">
        <v>212</v>
      </c>
    </row>
    <row r="93" spans="1:10">
      <c r="A93" s="8" t="s">
        <v>164</v>
      </c>
      <c r="B93" s="8" t="s">
        <v>1686</v>
      </c>
      <c r="C93" s="8" t="s">
        <v>1687</v>
      </c>
      <c r="D93" s="8" t="s">
        <v>1640</v>
      </c>
      <c r="E93" s="8" t="s">
        <v>362</v>
      </c>
      <c r="F93" s="8"/>
      <c r="G93" s="8" t="s">
        <v>211</v>
      </c>
      <c r="H93" s="8" t="s">
        <v>1649</v>
      </c>
      <c r="I93" s="8" t="s">
        <v>1543</v>
      </c>
      <c r="J93" s="8" t="s">
        <v>211</v>
      </c>
    </row>
    <row r="94" spans="1:10">
      <c r="A94" s="8" t="s">
        <v>164</v>
      </c>
      <c r="B94" s="8" t="s">
        <v>931</v>
      </c>
      <c r="C94" s="8" t="s">
        <v>1688</v>
      </c>
      <c r="D94" s="8" t="s">
        <v>1689</v>
      </c>
      <c r="E94" s="8" t="s">
        <v>451</v>
      </c>
      <c r="F94" s="8" t="s">
        <v>554</v>
      </c>
      <c r="G94" s="8" t="s">
        <v>211</v>
      </c>
      <c r="H94" s="8" t="s">
        <v>1668</v>
      </c>
      <c r="I94" s="8" t="s">
        <v>1565</v>
      </c>
      <c r="J94" s="8" t="s">
        <v>212</v>
      </c>
    </row>
    <row r="95" spans="1:10">
      <c r="A95" s="8" t="s">
        <v>164</v>
      </c>
      <c r="B95" s="8" t="s">
        <v>1690</v>
      </c>
      <c r="C95" s="8" t="s">
        <v>1691</v>
      </c>
      <c r="D95" s="8" t="s">
        <v>1689</v>
      </c>
      <c r="E95" s="8" t="s">
        <v>370</v>
      </c>
      <c r="F95" s="8"/>
      <c r="G95" s="8" t="s">
        <v>211</v>
      </c>
      <c r="H95" s="8" t="s">
        <v>1649</v>
      </c>
      <c r="I95" s="8" t="s">
        <v>1565</v>
      </c>
      <c r="J95" s="8" t="s">
        <v>212</v>
      </c>
    </row>
    <row r="96" spans="1:10">
      <c r="A96" s="8" t="s">
        <v>164</v>
      </c>
      <c r="B96" s="8" t="s">
        <v>1692</v>
      </c>
      <c r="C96" s="8" t="s">
        <v>1693</v>
      </c>
      <c r="D96" s="8" t="s">
        <v>1689</v>
      </c>
      <c r="E96" s="8" t="s">
        <v>362</v>
      </c>
      <c r="F96" s="8"/>
      <c r="G96" s="8" t="s">
        <v>211</v>
      </c>
      <c r="H96" s="8" t="s">
        <v>1649</v>
      </c>
      <c r="I96" s="8" t="s">
        <v>1565</v>
      </c>
      <c r="J96" s="8" t="s">
        <v>212</v>
      </c>
    </row>
    <row r="97" spans="1:10">
      <c r="A97" s="8" t="s">
        <v>164</v>
      </c>
      <c r="B97" s="8" t="s">
        <v>862</v>
      </c>
      <c r="C97" s="8" t="s">
        <v>1694</v>
      </c>
      <c r="D97" s="8" t="s">
        <v>1561</v>
      </c>
      <c r="E97" s="8" t="s">
        <v>362</v>
      </c>
      <c r="F97" s="8"/>
      <c r="G97" s="8" t="s">
        <v>211</v>
      </c>
      <c r="H97" s="8" t="s">
        <v>1666</v>
      </c>
      <c r="I97" s="8" t="s">
        <v>1565</v>
      </c>
      <c r="J97" s="8" t="s">
        <v>212</v>
      </c>
    </row>
    <row r="98" spans="1:10">
      <c r="A98" s="8" t="s">
        <v>164</v>
      </c>
      <c r="B98" s="8" t="s">
        <v>1695</v>
      </c>
      <c r="C98" s="8" t="s">
        <v>1696</v>
      </c>
      <c r="D98" s="8" t="s">
        <v>1561</v>
      </c>
      <c r="E98" s="8" t="s">
        <v>362</v>
      </c>
      <c r="F98" s="8"/>
      <c r="G98" s="8" t="s">
        <v>211</v>
      </c>
      <c r="H98" s="8" t="s">
        <v>1649</v>
      </c>
      <c r="I98" s="8" t="s">
        <v>1565</v>
      </c>
      <c r="J98" s="8" t="s">
        <v>212</v>
      </c>
    </row>
    <row r="99" spans="1:10">
      <c r="A99" s="8" t="s">
        <v>164</v>
      </c>
      <c r="B99" s="8" t="s">
        <v>867</v>
      </c>
      <c r="C99" s="8" t="s">
        <v>1697</v>
      </c>
      <c r="D99" s="8" t="s">
        <v>1561</v>
      </c>
      <c r="E99" s="8" t="s">
        <v>362</v>
      </c>
      <c r="F99" s="8"/>
      <c r="G99" s="8" t="s">
        <v>211</v>
      </c>
      <c r="H99" s="8" t="s">
        <v>1666</v>
      </c>
      <c r="I99" s="8" t="s">
        <v>1565</v>
      </c>
      <c r="J99" s="8" t="s">
        <v>212</v>
      </c>
    </row>
    <row r="100" spans="1:10">
      <c r="A100" s="8" t="s">
        <v>164</v>
      </c>
      <c r="B100" s="8" t="s">
        <v>1698</v>
      </c>
      <c r="C100" s="8" t="s">
        <v>1699</v>
      </c>
      <c r="D100" s="8" t="s">
        <v>1561</v>
      </c>
      <c r="E100" s="8" t="s">
        <v>362</v>
      </c>
      <c r="F100" s="8"/>
      <c r="G100" s="8" t="s">
        <v>211</v>
      </c>
      <c r="H100" s="8" t="s">
        <v>1649</v>
      </c>
      <c r="I100" s="8" t="s">
        <v>1565</v>
      </c>
      <c r="J100" s="8" t="s">
        <v>212</v>
      </c>
    </row>
    <row r="101" spans="1:10">
      <c r="A101" s="8" t="s">
        <v>164</v>
      </c>
      <c r="B101" s="8" t="s">
        <v>1700</v>
      </c>
      <c r="C101" s="8" t="s">
        <v>1701</v>
      </c>
      <c r="D101" s="8" t="s">
        <v>1561</v>
      </c>
      <c r="E101" s="8" t="s">
        <v>362</v>
      </c>
      <c r="F101" s="8"/>
      <c r="G101" s="8" t="s">
        <v>211</v>
      </c>
      <c r="H101" s="8" t="s">
        <v>1649</v>
      </c>
      <c r="I101" s="8" t="s">
        <v>1565</v>
      </c>
      <c r="J101" s="8" t="s">
        <v>212</v>
      </c>
    </row>
    <row r="102" spans="1:10">
      <c r="A102" s="8" t="s">
        <v>164</v>
      </c>
      <c r="B102" s="8" t="s">
        <v>1702</v>
      </c>
      <c r="C102" s="8" t="s">
        <v>1703</v>
      </c>
      <c r="D102" s="8" t="s">
        <v>1571</v>
      </c>
      <c r="E102" s="8" t="s">
        <v>441</v>
      </c>
      <c r="F102" s="8"/>
      <c r="G102" s="8" t="s">
        <v>211</v>
      </c>
      <c r="H102" s="8" t="s">
        <v>1649</v>
      </c>
      <c r="I102" s="8" t="s">
        <v>1704</v>
      </c>
      <c r="J102" s="8" t="s">
        <v>212</v>
      </c>
    </row>
    <row r="103" spans="1:10">
      <c r="A103" s="8" t="s">
        <v>164</v>
      </c>
      <c r="B103" s="8" t="s">
        <v>876</v>
      </c>
      <c r="C103" s="8" t="s">
        <v>1705</v>
      </c>
      <c r="D103" s="8" t="s">
        <v>170</v>
      </c>
      <c r="E103" s="8" t="s">
        <v>362</v>
      </c>
      <c r="F103" s="8"/>
      <c r="G103" s="8" t="s">
        <v>211</v>
      </c>
      <c r="H103" s="8" t="s">
        <v>1706</v>
      </c>
      <c r="I103" s="8" t="s">
        <v>1707</v>
      </c>
      <c r="J103" s="8" t="s">
        <v>212</v>
      </c>
    </row>
    <row r="104" spans="1:10">
      <c r="A104" s="8" t="s">
        <v>164</v>
      </c>
      <c r="B104" s="8" t="s">
        <v>772</v>
      </c>
      <c r="C104" s="8" t="s">
        <v>1708</v>
      </c>
      <c r="D104" s="8" t="s">
        <v>166</v>
      </c>
      <c r="E104" s="8" t="s">
        <v>362</v>
      </c>
      <c r="F104" s="8"/>
      <c r="G104" s="8" t="s">
        <v>211</v>
      </c>
      <c r="H104" s="8" t="s">
        <v>1655</v>
      </c>
      <c r="I104" s="8" t="s">
        <v>1707</v>
      </c>
      <c r="J104" s="8" t="s">
        <v>212</v>
      </c>
    </row>
    <row r="105" spans="1:10">
      <c r="A105" s="8" t="s">
        <v>164</v>
      </c>
      <c r="B105" s="8" t="s">
        <v>1709</v>
      </c>
      <c r="C105" s="8" t="s">
        <v>1710</v>
      </c>
      <c r="D105" s="8" t="s">
        <v>166</v>
      </c>
      <c r="E105" s="8" t="s">
        <v>441</v>
      </c>
      <c r="F105" s="8"/>
      <c r="G105" s="8" t="s">
        <v>211</v>
      </c>
      <c r="H105" s="8" t="s">
        <v>1649</v>
      </c>
      <c r="I105" s="8" t="s">
        <v>1704</v>
      </c>
      <c r="J105" s="8" t="s">
        <v>212</v>
      </c>
    </row>
    <row r="106" spans="1:10">
      <c r="A106" s="8" t="s">
        <v>164</v>
      </c>
      <c r="B106" s="8" t="s">
        <v>1711</v>
      </c>
      <c r="C106" s="8" t="s">
        <v>1712</v>
      </c>
      <c r="D106" s="8" t="s">
        <v>1713</v>
      </c>
      <c r="E106" s="8" t="s">
        <v>441</v>
      </c>
      <c r="F106" s="8"/>
      <c r="G106" s="8" t="s">
        <v>211</v>
      </c>
      <c r="H106" s="8" t="s">
        <v>1649</v>
      </c>
      <c r="I106" s="8" t="s">
        <v>1704</v>
      </c>
      <c r="J106" s="8" t="s">
        <v>212</v>
      </c>
    </row>
    <row r="107" spans="1:10">
      <c r="A107" s="8" t="s">
        <v>164</v>
      </c>
      <c r="B107" s="8" t="s">
        <v>918</v>
      </c>
      <c r="C107" s="8" t="s">
        <v>1081</v>
      </c>
      <c r="D107" s="8" t="s">
        <v>170</v>
      </c>
      <c r="E107" s="8" t="s">
        <v>441</v>
      </c>
      <c r="F107" s="8"/>
      <c r="G107" s="8" t="s">
        <v>211</v>
      </c>
      <c r="H107" s="8" t="s">
        <v>1668</v>
      </c>
      <c r="I107" s="8" t="s">
        <v>1707</v>
      </c>
      <c r="J107" s="8" t="s">
        <v>212</v>
      </c>
    </row>
    <row r="108" spans="1:10">
      <c r="A108" s="8" t="s">
        <v>164</v>
      </c>
      <c r="B108" s="8" t="s">
        <v>920</v>
      </c>
      <c r="C108" s="8" t="s">
        <v>1714</v>
      </c>
      <c r="D108" s="8" t="s">
        <v>170</v>
      </c>
      <c r="E108" s="8" t="s">
        <v>441</v>
      </c>
      <c r="F108" s="8"/>
      <c r="G108" s="8" t="s">
        <v>211</v>
      </c>
      <c r="H108" s="8" t="s">
        <v>1668</v>
      </c>
      <c r="I108" s="8" t="s">
        <v>1707</v>
      </c>
      <c r="J108" s="8" t="s">
        <v>212</v>
      </c>
    </row>
    <row r="109" spans="1:10">
      <c r="A109" s="8" t="s">
        <v>164</v>
      </c>
      <c r="B109" s="8" t="s">
        <v>923</v>
      </c>
      <c r="C109" s="8" t="s">
        <v>1715</v>
      </c>
      <c r="D109" s="8" t="s">
        <v>170</v>
      </c>
      <c r="E109" s="8" t="s">
        <v>441</v>
      </c>
      <c r="F109" s="8"/>
      <c r="G109" s="8" t="s">
        <v>211</v>
      </c>
      <c r="H109" s="8" t="s">
        <v>1668</v>
      </c>
      <c r="I109" s="8" t="s">
        <v>1707</v>
      </c>
      <c r="J109" s="8" t="s">
        <v>212</v>
      </c>
    </row>
    <row r="110" spans="1:10">
      <c r="A110" s="8" t="s">
        <v>164</v>
      </c>
      <c r="B110" s="8" t="s">
        <v>925</v>
      </c>
      <c r="C110" s="8" t="s">
        <v>1038</v>
      </c>
      <c r="D110" s="8" t="s">
        <v>170</v>
      </c>
      <c r="E110" s="8" t="s">
        <v>441</v>
      </c>
      <c r="F110" s="8"/>
      <c r="G110" s="8" t="s">
        <v>211</v>
      </c>
      <c r="H110" s="8" t="s">
        <v>1668</v>
      </c>
      <c r="I110" s="8" t="s">
        <v>1707</v>
      </c>
      <c r="J110" s="8" t="s">
        <v>212</v>
      </c>
    </row>
    <row r="111" spans="1:10">
      <c r="A111" s="8" t="s">
        <v>164</v>
      </c>
      <c r="B111" s="8" t="s">
        <v>1716</v>
      </c>
      <c r="C111" s="8" t="s">
        <v>1717</v>
      </c>
      <c r="D111" s="8" t="s">
        <v>170</v>
      </c>
      <c r="E111" s="8" t="s">
        <v>441</v>
      </c>
      <c r="F111" s="8"/>
      <c r="G111" s="8" t="s">
        <v>211</v>
      </c>
      <c r="H111" s="8" t="s">
        <v>1649</v>
      </c>
      <c r="I111" s="8" t="s">
        <v>1704</v>
      </c>
      <c r="J111" s="8" t="s">
        <v>212</v>
      </c>
    </row>
    <row r="112" spans="1:10">
      <c r="A112" s="8" t="s">
        <v>164</v>
      </c>
      <c r="B112" s="8" t="s">
        <v>1718</v>
      </c>
      <c r="C112" s="8" t="s">
        <v>1719</v>
      </c>
      <c r="D112" s="8" t="s">
        <v>1577</v>
      </c>
      <c r="E112" s="8" t="s">
        <v>441</v>
      </c>
      <c r="F112" s="8"/>
      <c r="G112" s="8" t="s">
        <v>211</v>
      </c>
      <c r="H112" s="8" t="s">
        <v>1649</v>
      </c>
      <c r="I112" s="8" t="s">
        <v>1704</v>
      </c>
      <c r="J112" s="8" t="s">
        <v>212</v>
      </c>
    </row>
    <row r="113" spans="1:10">
      <c r="A113" s="8" t="s">
        <v>164</v>
      </c>
      <c r="B113" s="8" t="s">
        <v>1720</v>
      </c>
      <c r="C113" s="8" t="s">
        <v>1721</v>
      </c>
      <c r="D113" s="8" t="s">
        <v>1577</v>
      </c>
      <c r="E113" s="8" t="s">
        <v>441</v>
      </c>
      <c r="F113" s="8"/>
      <c r="G113" s="8" t="s">
        <v>211</v>
      </c>
      <c r="H113" s="8" t="s">
        <v>1649</v>
      </c>
      <c r="I113" s="8" t="s">
        <v>1704</v>
      </c>
      <c r="J113" s="8" t="s">
        <v>212</v>
      </c>
    </row>
    <row r="114" spans="1:10">
      <c r="A114" s="8" t="s">
        <v>164</v>
      </c>
      <c r="B114" s="8" t="s">
        <v>1722</v>
      </c>
      <c r="C114" s="8" t="s">
        <v>1723</v>
      </c>
      <c r="D114" s="8" t="s">
        <v>1724</v>
      </c>
      <c r="E114" s="8" t="s">
        <v>441</v>
      </c>
      <c r="F114" s="8"/>
      <c r="G114" s="8" t="s">
        <v>211</v>
      </c>
      <c r="H114" s="8" t="s">
        <v>1649</v>
      </c>
      <c r="I114" s="8" t="s">
        <v>1704</v>
      </c>
      <c r="J114" s="8" t="s">
        <v>212</v>
      </c>
    </row>
    <row r="115" spans="1:10">
      <c r="A115" s="8" t="s">
        <v>164</v>
      </c>
      <c r="B115" s="8" t="s">
        <v>1725</v>
      </c>
      <c r="C115" s="8" t="s">
        <v>1726</v>
      </c>
      <c r="D115" s="8" t="s">
        <v>1724</v>
      </c>
      <c r="E115" s="8" t="s">
        <v>441</v>
      </c>
      <c r="F115" s="8"/>
      <c r="G115" s="8" t="s">
        <v>211</v>
      </c>
      <c r="H115" s="8" t="s">
        <v>1649</v>
      </c>
      <c r="I115" s="8" t="s">
        <v>1704</v>
      </c>
      <c r="J115" s="8" t="s">
        <v>212</v>
      </c>
    </row>
    <row r="116" spans="1:10">
      <c r="A116" s="8" t="s">
        <v>164</v>
      </c>
      <c r="B116" s="8" t="s">
        <v>1727</v>
      </c>
      <c r="C116" s="8" t="s">
        <v>1728</v>
      </c>
      <c r="D116" s="8" t="s">
        <v>1729</v>
      </c>
      <c r="E116" s="8" t="s">
        <v>441</v>
      </c>
      <c r="F116" s="8"/>
      <c r="G116" s="8" t="s">
        <v>211</v>
      </c>
      <c r="H116" s="8" t="s">
        <v>1649</v>
      </c>
      <c r="I116" s="8" t="s">
        <v>1704</v>
      </c>
      <c r="J116" s="8" t="s">
        <v>212</v>
      </c>
    </row>
    <row r="117" spans="1:10">
      <c r="A117" s="8" t="s">
        <v>164</v>
      </c>
      <c r="B117" s="8" t="s">
        <v>1730</v>
      </c>
      <c r="C117" s="8" t="s">
        <v>1731</v>
      </c>
      <c r="D117" s="8" t="s">
        <v>170</v>
      </c>
      <c r="E117" s="8" t="s">
        <v>441</v>
      </c>
      <c r="F117" s="8"/>
      <c r="G117" s="8" t="s">
        <v>211</v>
      </c>
      <c r="H117" s="8" t="s">
        <v>1649</v>
      </c>
      <c r="I117" s="8" t="s">
        <v>1704</v>
      </c>
      <c r="J117" s="8" t="s">
        <v>212</v>
      </c>
    </row>
    <row r="118" spans="1:10">
      <c r="A118" s="8" t="s">
        <v>164</v>
      </c>
      <c r="B118" s="8" t="s">
        <v>1732</v>
      </c>
      <c r="C118" s="8" t="s">
        <v>1733</v>
      </c>
      <c r="D118" s="8" t="s">
        <v>1571</v>
      </c>
      <c r="E118" s="8" t="s">
        <v>441</v>
      </c>
      <c r="F118" s="8"/>
      <c r="G118" s="8" t="s">
        <v>211</v>
      </c>
      <c r="H118" s="8" t="s">
        <v>1649</v>
      </c>
      <c r="I118" s="8" t="s">
        <v>1704</v>
      </c>
      <c r="J118" s="8" t="s">
        <v>212</v>
      </c>
    </row>
    <row r="119" spans="1:10">
      <c r="A119" s="8" t="s">
        <v>164</v>
      </c>
      <c r="B119" s="8" t="s">
        <v>1734</v>
      </c>
      <c r="C119" s="8" t="s">
        <v>1735</v>
      </c>
      <c r="D119" s="8" t="s">
        <v>1571</v>
      </c>
      <c r="E119" s="8" t="s">
        <v>441</v>
      </c>
      <c r="F119" s="8"/>
      <c r="G119" s="8" t="s">
        <v>211</v>
      </c>
      <c r="H119" s="8" t="s">
        <v>1649</v>
      </c>
      <c r="I119" s="8" t="s">
        <v>1704</v>
      </c>
      <c r="J119" s="8" t="s">
        <v>212</v>
      </c>
    </row>
    <row r="120" spans="1:10">
      <c r="A120" s="8" t="s">
        <v>164</v>
      </c>
      <c r="B120" s="8" t="s">
        <v>1736</v>
      </c>
      <c r="C120" s="8" t="s">
        <v>1737</v>
      </c>
      <c r="D120" s="8" t="s">
        <v>1738</v>
      </c>
      <c r="E120" s="8" t="s">
        <v>441</v>
      </c>
      <c r="F120" s="8"/>
      <c r="G120" s="8" t="s">
        <v>211</v>
      </c>
      <c r="H120" s="8" t="s">
        <v>1649</v>
      </c>
      <c r="I120" s="8" t="s">
        <v>1704</v>
      </c>
      <c r="J120" s="8" t="s">
        <v>212</v>
      </c>
    </row>
    <row r="121" spans="1:10">
      <c r="A121" s="8" t="s">
        <v>164</v>
      </c>
      <c r="B121" s="8" t="s">
        <v>927</v>
      </c>
      <c r="C121" s="8" t="s">
        <v>1739</v>
      </c>
      <c r="D121" s="8" t="s">
        <v>1713</v>
      </c>
      <c r="E121" s="8" t="s">
        <v>441</v>
      </c>
      <c r="F121" s="8"/>
      <c r="G121" s="8" t="s">
        <v>211</v>
      </c>
      <c r="H121" s="8" t="s">
        <v>1668</v>
      </c>
      <c r="I121" s="8" t="s">
        <v>1707</v>
      </c>
      <c r="J121" s="8" t="s">
        <v>212</v>
      </c>
    </row>
    <row r="122" spans="1:10">
      <c r="A122" s="8" t="s">
        <v>164</v>
      </c>
      <c r="B122" s="8" t="s">
        <v>1740</v>
      </c>
      <c r="C122" s="8" t="s">
        <v>1741</v>
      </c>
      <c r="D122" s="8" t="s">
        <v>170</v>
      </c>
      <c r="E122" s="8" t="s">
        <v>441</v>
      </c>
      <c r="F122" s="8"/>
      <c r="G122" s="8" t="s">
        <v>211</v>
      </c>
      <c r="H122" s="8" t="s">
        <v>1649</v>
      </c>
      <c r="I122" s="8" t="s">
        <v>1704</v>
      </c>
      <c r="J122" s="8" t="s">
        <v>212</v>
      </c>
    </row>
    <row r="123" spans="1:10">
      <c r="A123" s="8" t="s">
        <v>164</v>
      </c>
      <c r="B123" s="8" t="s">
        <v>1742</v>
      </c>
      <c r="C123" s="8" t="s">
        <v>1743</v>
      </c>
      <c r="D123" s="8" t="s">
        <v>1724</v>
      </c>
      <c r="E123" s="8" t="s">
        <v>441</v>
      </c>
      <c r="F123" s="8"/>
      <c r="G123" s="8" t="s">
        <v>211</v>
      </c>
      <c r="H123" s="8" t="s">
        <v>1649</v>
      </c>
      <c r="I123" s="8" t="s">
        <v>1704</v>
      </c>
      <c r="J123" s="8" t="s">
        <v>212</v>
      </c>
    </row>
    <row r="124" spans="1:10">
      <c r="A124" s="8" t="s">
        <v>164</v>
      </c>
      <c r="B124" s="8" t="s">
        <v>1744</v>
      </c>
      <c r="C124" s="8" t="s">
        <v>1745</v>
      </c>
      <c r="D124" s="8" t="s">
        <v>170</v>
      </c>
      <c r="E124" s="8" t="s">
        <v>441</v>
      </c>
      <c r="F124" s="8"/>
      <c r="G124" s="8" t="s">
        <v>211</v>
      </c>
      <c r="H124" s="8" t="s">
        <v>1649</v>
      </c>
      <c r="I124" s="8" t="s">
        <v>1704</v>
      </c>
      <c r="J124" s="8" t="s">
        <v>212</v>
      </c>
    </row>
    <row r="125" spans="1:10">
      <c r="A125" s="8" t="s">
        <v>164</v>
      </c>
      <c r="B125" s="8" t="s">
        <v>1746</v>
      </c>
      <c r="C125" s="8" t="s">
        <v>1747</v>
      </c>
      <c r="D125" s="8" t="s">
        <v>1664</v>
      </c>
      <c r="E125" s="8" t="s">
        <v>362</v>
      </c>
      <c r="F125" s="8"/>
      <c r="G125" s="8" t="s">
        <v>211</v>
      </c>
      <c r="H125" s="8" t="s">
        <v>1649</v>
      </c>
      <c r="I125" s="8" t="s">
        <v>1704</v>
      </c>
      <c r="J125" s="8" t="s">
        <v>212</v>
      </c>
    </row>
    <row r="126" spans="1:10">
      <c r="A126" s="8" t="s">
        <v>173</v>
      </c>
      <c r="B126" s="8" t="s">
        <v>1748</v>
      </c>
      <c r="C126" s="8" t="s">
        <v>1749</v>
      </c>
      <c r="D126" s="8" t="s">
        <v>1664</v>
      </c>
      <c r="E126" s="8" t="s">
        <v>362</v>
      </c>
      <c r="F126" s="8"/>
      <c r="G126" s="8" t="s">
        <v>211</v>
      </c>
      <c r="H126" s="8"/>
      <c r="I126" s="8"/>
      <c r="J126" s="8" t="s">
        <v>212</v>
      </c>
    </row>
    <row r="127" spans="1:10">
      <c r="A127" s="8" t="s">
        <v>173</v>
      </c>
      <c r="B127" s="8" t="s">
        <v>1750</v>
      </c>
      <c r="C127" s="8" t="s">
        <v>1751</v>
      </c>
      <c r="D127" s="8" t="s">
        <v>1571</v>
      </c>
      <c r="E127" s="8" t="s">
        <v>362</v>
      </c>
      <c r="F127" s="8"/>
      <c r="G127" s="8" t="s">
        <v>211</v>
      </c>
      <c r="H127" s="8" t="s">
        <v>1752</v>
      </c>
      <c r="I127" s="8" t="s">
        <v>1543</v>
      </c>
      <c r="J127" s="8" t="s">
        <v>211</v>
      </c>
    </row>
    <row r="128" spans="1:10">
      <c r="A128" s="8" t="s">
        <v>173</v>
      </c>
      <c r="B128" s="8" t="s">
        <v>1753</v>
      </c>
      <c r="C128" s="8" t="s">
        <v>1754</v>
      </c>
      <c r="D128" s="8" t="s">
        <v>1664</v>
      </c>
      <c r="E128" s="8" t="s">
        <v>362</v>
      </c>
      <c r="F128" s="8"/>
      <c r="G128" s="8" t="s">
        <v>211</v>
      </c>
      <c r="H128" s="8" t="s">
        <v>1752</v>
      </c>
      <c r="I128" s="8" t="s">
        <v>1548</v>
      </c>
      <c r="J128" s="8" t="s">
        <v>211</v>
      </c>
    </row>
    <row r="129" spans="1:10">
      <c r="A129" s="8" t="s">
        <v>173</v>
      </c>
      <c r="B129" s="8" t="s">
        <v>1755</v>
      </c>
      <c r="C129" s="8" t="s">
        <v>1756</v>
      </c>
      <c r="D129" s="8" t="s">
        <v>1664</v>
      </c>
      <c r="E129" s="8" t="s">
        <v>362</v>
      </c>
      <c r="F129" s="8"/>
      <c r="G129" s="8" t="s">
        <v>211</v>
      </c>
      <c r="H129" s="8" t="s">
        <v>1752</v>
      </c>
      <c r="I129" s="8" t="s">
        <v>1548</v>
      </c>
      <c r="J129" s="8" t="s">
        <v>211</v>
      </c>
    </row>
    <row r="130" spans="1:10">
      <c r="A130" s="8" t="s">
        <v>173</v>
      </c>
      <c r="B130" s="8" t="s">
        <v>1757</v>
      </c>
      <c r="C130" s="8" t="s">
        <v>1758</v>
      </c>
      <c r="D130" s="8" t="s">
        <v>1664</v>
      </c>
      <c r="E130" s="8" t="s">
        <v>362</v>
      </c>
      <c r="F130" s="8"/>
      <c r="G130" s="8" t="s">
        <v>211</v>
      </c>
      <c r="H130" s="8" t="s">
        <v>1752</v>
      </c>
      <c r="I130" s="8" t="s">
        <v>1565</v>
      </c>
      <c r="J130" s="8" t="s">
        <v>212</v>
      </c>
    </row>
    <row r="131" spans="1:10">
      <c r="A131" s="8" t="s">
        <v>173</v>
      </c>
      <c r="B131" s="8" t="s">
        <v>1759</v>
      </c>
      <c r="C131" s="8" t="s">
        <v>1760</v>
      </c>
      <c r="D131" s="8" t="s">
        <v>1664</v>
      </c>
      <c r="E131" s="8" t="s">
        <v>362</v>
      </c>
      <c r="F131" s="8"/>
      <c r="G131" s="8" t="s">
        <v>211</v>
      </c>
      <c r="H131" s="8" t="s">
        <v>1752</v>
      </c>
      <c r="I131" s="8" t="s">
        <v>1548</v>
      </c>
      <c r="J131" s="8" t="s">
        <v>211</v>
      </c>
    </row>
    <row r="132" spans="1:10">
      <c r="A132" s="8" t="s">
        <v>173</v>
      </c>
      <c r="B132" s="8" t="s">
        <v>1761</v>
      </c>
      <c r="C132" s="8" t="s">
        <v>1762</v>
      </c>
      <c r="D132" s="8" t="s">
        <v>1763</v>
      </c>
      <c r="E132" s="8" t="s">
        <v>362</v>
      </c>
      <c r="F132" s="8"/>
      <c r="G132" s="8" t="s">
        <v>211</v>
      </c>
      <c r="H132" s="8" t="s">
        <v>1752</v>
      </c>
      <c r="I132" s="8" t="s">
        <v>1548</v>
      </c>
      <c r="J132" s="8" t="s">
        <v>211</v>
      </c>
    </row>
    <row r="133" spans="1:10">
      <c r="A133" s="8" t="s">
        <v>173</v>
      </c>
      <c r="B133" s="8" t="s">
        <v>1764</v>
      </c>
      <c r="C133" s="8" t="s">
        <v>1765</v>
      </c>
      <c r="D133" s="8" t="s">
        <v>1763</v>
      </c>
      <c r="E133" s="8" t="s">
        <v>362</v>
      </c>
      <c r="F133" s="8"/>
      <c r="G133" s="8" t="s">
        <v>211</v>
      </c>
      <c r="H133" s="8" t="s">
        <v>1752</v>
      </c>
      <c r="I133" s="8" t="s">
        <v>1548</v>
      </c>
      <c r="J133" s="8" t="s">
        <v>211</v>
      </c>
    </row>
    <row r="134" spans="1:10">
      <c r="A134" s="8" t="s">
        <v>173</v>
      </c>
      <c r="B134" s="8" t="s">
        <v>571</v>
      </c>
      <c r="C134" s="8" t="s">
        <v>1766</v>
      </c>
      <c r="D134" s="8" t="s">
        <v>1767</v>
      </c>
      <c r="E134" s="8" t="s">
        <v>441</v>
      </c>
      <c r="F134" s="8"/>
      <c r="G134" s="8" t="s">
        <v>211</v>
      </c>
      <c r="H134" s="8" t="s">
        <v>1768</v>
      </c>
      <c r="I134" s="8" t="s">
        <v>1543</v>
      </c>
      <c r="J134" s="8" t="s">
        <v>211</v>
      </c>
    </row>
    <row r="135" spans="1:10">
      <c r="A135" s="8" t="s">
        <v>173</v>
      </c>
      <c r="B135" s="8" t="s">
        <v>574</v>
      </c>
      <c r="C135" s="8" t="s">
        <v>1769</v>
      </c>
      <c r="D135" s="8" t="s">
        <v>1767</v>
      </c>
      <c r="E135" s="8" t="s">
        <v>441</v>
      </c>
      <c r="F135" s="8"/>
      <c r="G135" s="8" t="s">
        <v>211</v>
      </c>
      <c r="H135" s="8" t="s">
        <v>1768</v>
      </c>
      <c r="I135" s="8" t="s">
        <v>1543</v>
      </c>
      <c r="J135" s="8" t="s">
        <v>211</v>
      </c>
    </row>
    <row r="136" spans="1:10">
      <c r="A136" s="8" t="s">
        <v>173</v>
      </c>
      <c r="B136" s="8" t="s">
        <v>577</v>
      </c>
      <c r="C136" s="8" t="s">
        <v>1770</v>
      </c>
      <c r="D136" s="8" t="s">
        <v>1771</v>
      </c>
      <c r="E136" s="8" t="s">
        <v>441</v>
      </c>
      <c r="F136" s="8"/>
      <c r="G136" s="8" t="s">
        <v>211</v>
      </c>
      <c r="H136" s="8" t="s">
        <v>1768</v>
      </c>
      <c r="I136" s="8" t="s">
        <v>1543</v>
      </c>
      <c r="J136" s="8" t="s">
        <v>211</v>
      </c>
    </row>
    <row r="137" spans="1:10">
      <c r="A137" s="8" t="s">
        <v>173</v>
      </c>
      <c r="B137" s="8" t="s">
        <v>580</v>
      </c>
      <c r="C137" s="8" t="s">
        <v>1772</v>
      </c>
      <c r="D137" s="8" t="s">
        <v>1738</v>
      </c>
      <c r="E137" s="8" t="s">
        <v>441</v>
      </c>
      <c r="F137" s="8"/>
      <c r="G137" s="8" t="s">
        <v>211</v>
      </c>
      <c r="H137" s="8" t="s">
        <v>1768</v>
      </c>
      <c r="I137" s="8" t="s">
        <v>1543</v>
      </c>
      <c r="J137" s="8" t="s">
        <v>211</v>
      </c>
    </row>
    <row r="138" spans="1:10">
      <c r="A138" s="8" t="s">
        <v>173</v>
      </c>
      <c r="B138" s="8" t="s">
        <v>587</v>
      </c>
      <c r="C138" s="8" t="s">
        <v>1773</v>
      </c>
      <c r="D138" s="8" t="s">
        <v>1534</v>
      </c>
      <c r="E138" s="8" t="s">
        <v>362</v>
      </c>
      <c r="F138" s="8"/>
      <c r="G138" s="8" t="s">
        <v>211</v>
      </c>
      <c r="H138" s="8" t="s">
        <v>1774</v>
      </c>
      <c r="I138" s="8" t="s">
        <v>1565</v>
      </c>
      <c r="J138" s="8" t="s">
        <v>212</v>
      </c>
    </row>
    <row r="139" spans="1:10">
      <c r="A139" s="8" t="s">
        <v>266</v>
      </c>
      <c r="B139" s="8" t="s">
        <v>1775</v>
      </c>
      <c r="C139" s="8" t="s">
        <v>1776</v>
      </c>
      <c r="D139" s="8" t="s">
        <v>1541</v>
      </c>
      <c r="E139" s="8" t="s">
        <v>362</v>
      </c>
      <c r="F139" s="8"/>
      <c r="G139" s="8" t="s">
        <v>211</v>
      </c>
      <c r="H139" s="8" t="s">
        <v>1649</v>
      </c>
      <c r="I139" s="8" t="s">
        <v>1543</v>
      </c>
      <c r="J139" s="8" t="s">
        <v>211</v>
      </c>
    </row>
    <row r="140" spans="1:10">
      <c r="A140" s="8" t="s">
        <v>266</v>
      </c>
      <c r="B140" s="8" t="s">
        <v>807</v>
      </c>
      <c r="C140" s="8" t="s">
        <v>1777</v>
      </c>
      <c r="D140" s="8" t="s">
        <v>1778</v>
      </c>
      <c r="E140" s="8" t="s">
        <v>362</v>
      </c>
      <c r="F140" s="8"/>
      <c r="G140" s="8" t="s">
        <v>211</v>
      </c>
      <c r="H140" s="8" t="s">
        <v>1649</v>
      </c>
      <c r="I140" s="8" t="s">
        <v>1543</v>
      </c>
      <c r="J140" s="8" t="s">
        <v>211</v>
      </c>
    </row>
    <row r="141" spans="1:10">
      <c r="A141" s="8" t="s">
        <v>266</v>
      </c>
      <c r="B141" s="8" t="s">
        <v>1779</v>
      </c>
      <c r="C141" s="8" t="s">
        <v>1780</v>
      </c>
      <c r="D141" s="8" t="s">
        <v>1541</v>
      </c>
      <c r="E141" s="8" t="s">
        <v>362</v>
      </c>
      <c r="F141" s="8"/>
      <c r="G141" s="8" t="s">
        <v>211</v>
      </c>
      <c r="H141" s="8" t="s">
        <v>1649</v>
      </c>
      <c r="I141" s="8" t="s">
        <v>1543</v>
      </c>
      <c r="J141" s="8" t="s">
        <v>211</v>
      </c>
    </row>
    <row r="142" spans="1:10">
      <c r="A142" s="8" t="s">
        <v>266</v>
      </c>
      <c r="B142" s="8" t="s">
        <v>1781</v>
      </c>
      <c r="C142" s="8" t="s">
        <v>1782</v>
      </c>
      <c r="D142" s="8" t="s">
        <v>1561</v>
      </c>
      <c r="E142" s="8" t="s">
        <v>370</v>
      </c>
      <c r="F142" s="8"/>
      <c r="G142" s="8" t="s">
        <v>211</v>
      </c>
      <c r="H142" s="8" t="s">
        <v>1649</v>
      </c>
      <c r="I142" s="8" t="s">
        <v>1565</v>
      </c>
      <c r="J142" s="8" t="s">
        <v>212</v>
      </c>
    </row>
  </sheetData>
  <mergeCells count="2">
    <mergeCell ref="A1:J1"/>
    <mergeCell ref="A2:J2"/>
  </mergeCells>
  <phoneticPr fontId="13"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4"/>
  <sheetViews>
    <sheetView showGridLines="0" workbookViewId="0"/>
  </sheetViews>
  <sheetFormatPr defaultRowHeight="14"/>
  <cols>
    <col min="1" max="1" width="30" customWidth="1"/>
    <col min="2" max="2" width="25" customWidth="1"/>
    <col min="3" max="3" width="42" customWidth="1"/>
    <col min="4" max="4" width="20" customWidth="1"/>
    <col min="5" max="5" width="16" customWidth="1"/>
    <col min="6" max="6" width="12" customWidth="1"/>
    <col min="7" max="7" width="18" customWidth="1"/>
    <col min="8" max="8" width="20" customWidth="1"/>
    <col min="9" max="10" width="16" customWidth="1"/>
    <col min="11" max="11" width="18" customWidth="1"/>
  </cols>
  <sheetData>
    <row r="1" spans="1:11" ht="34" customHeight="1">
      <c r="A1" s="41" t="s">
        <v>1783</v>
      </c>
      <c r="B1" s="41"/>
      <c r="C1" s="41"/>
      <c r="D1" s="41"/>
      <c r="E1" s="41"/>
      <c r="F1" s="41"/>
      <c r="G1" s="41"/>
      <c r="H1" s="41"/>
      <c r="I1" s="41"/>
      <c r="J1" s="41"/>
      <c r="K1" s="41"/>
    </row>
    <row r="2" spans="1:11" ht="28" customHeight="1">
      <c r="A2" s="42" t="s">
        <v>1784</v>
      </c>
      <c r="B2" s="42"/>
      <c r="C2" s="42"/>
      <c r="D2" s="42"/>
      <c r="E2" s="42"/>
      <c r="F2" s="42"/>
      <c r="G2" s="42"/>
      <c r="H2" s="42"/>
      <c r="I2" s="42"/>
      <c r="J2" s="42"/>
      <c r="K2" s="42"/>
    </row>
    <row r="3" spans="1:11" ht="14.5">
      <c r="A3" s="1"/>
      <c r="B3" s="1"/>
      <c r="C3" s="1"/>
      <c r="D3" s="1"/>
      <c r="E3" s="1"/>
      <c r="F3" s="1"/>
      <c r="G3" s="1"/>
      <c r="H3" s="1"/>
      <c r="I3" s="1"/>
      <c r="J3" s="1"/>
      <c r="K3" s="1"/>
    </row>
    <row r="4" spans="1:11" ht="32" customHeight="1">
      <c r="A4" s="3" t="s">
        <v>109</v>
      </c>
      <c r="B4" s="4" t="s">
        <v>110</v>
      </c>
      <c r="C4" s="4" t="s">
        <v>1785</v>
      </c>
      <c r="D4" s="4" t="s">
        <v>1786</v>
      </c>
      <c r="E4" s="4" t="s">
        <v>1787</v>
      </c>
      <c r="F4" s="4" t="s">
        <v>1788</v>
      </c>
      <c r="G4" s="4" t="s">
        <v>1789</v>
      </c>
      <c r="H4" s="4" t="s">
        <v>1790</v>
      </c>
      <c r="I4" s="4" t="s">
        <v>1791</v>
      </c>
      <c r="J4" s="4" t="s">
        <v>1792</v>
      </c>
      <c r="K4" s="5" t="s">
        <v>1793</v>
      </c>
    </row>
    <row r="5" spans="1:11">
      <c r="A5" s="7" t="s">
        <v>116</v>
      </c>
      <c r="B5" s="7" t="s">
        <v>117</v>
      </c>
      <c r="C5" s="7" t="s">
        <v>1794</v>
      </c>
      <c r="D5" s="7" t="s">
        <v>209</v>
      </c>
      <c r="E5" s="7" t="s">
        <v>222</v>
      </c>
      <c r="F5" s="7" t="s">
        <v>211</v>
      </c>
      <c r="G5" s="7" t="s">
        <v>1795</v>
      </c>
      <c r="H5" s="7" t="s">
        <v>360</v>
      </c>
      <c r="I5" s="7" t="s">
        <v>362</v>
      </c>
      <c r="J5" s="7" t="s">
        <v>366</v>
      </c>
      <c r="K5" s="7" t="s">
        <v>1796</v>
      </c>
    </row>
    <row r="6" spans="1:11">
      <c r="A6" s="8" t="s">
        <v>132</v>
      </c>
      <c r="B6" s="8" t="s">
        <v>119</v>
      </c>
      <c r="C6" s="8" t="s">
        <v>1797</v>
      </c>
      <c r="D6" s="8" t="s">
        <v>1798</v>
      </c>
      <c r="E6" s="8" t="s">
        <v>236</v>
      </c>
      <c r="F6" s="8" t="s">
        <v>212</v>
      </c>
      <c r="G6" s="8" t="s">
        <v>1799</v>
      </c>
      <c r="H6" s="8" t="s">
        <v>1326</v>
      </c>
      <c r="I6" s="8" t="s">
        <v>370</v>
      </c>
      <c r="J6" s="8" t="s">
        <v>1800</v>
      </c>
      <c r="K6" s="8" t="s">
        <v>87</v>
      </c>
    </row>
    <row r="7" spans="1:11">
      <c r="A7" s="8" t="s">
        <v>152</v>
      </c>
      <c r="B7" s="8" t="s">
        <v>121</v>
      </c>
      <c r="C7" s="8" t="s">
        <v>1801</v>
      </c>
      <c r="D7" s="8" t="s">
        <v>1802</v>
      </c>
      <c r="E7" s="8" t="s">
        <v>210</v>
      </c>
      <c r="F7" s="8"/>
      <c r="G7" s="8" t="s">
        <v>213</v>
      </c>
      <c r="H7" s="8" t="s">
        <v>386</v>
      </c>
      <c r="I7" s="8" t="s">
        <v>451</v>
      </c>
      <c r="J7" s="8" t="s">
        <v>1803</v>
      </c>
      <c r="K7" s="8" t="s">
        <v>89</v>
      </c>
    </row>
    <row r="8" spans="1:11">
      <c r="A8" s="8" t="s">
        <v>164</v>
      </c>
      <c r="B8" s="8" t="s">
        <v>123</v>
      </c>
      <c r="C8" s="8" t="s">
        <v>1804</v>
      </c>
      <c r="D8" s="8" t="s">
        <v>1805</v>
      </c>
      <c r="E8" s="8"/>
      <c r="F8" s="8"/>
      <c r="G8" s="8" t="s">
        <v>1806</v>
      </c>
      <c r="H8" s="8" t="s">
        <v>480</v>
      </c>
      <c r="I8" s="8" t="s">
        <v>441</v>
      </c>
      <c r="J8" s="8"/>
      <c r="K8" s="8" t="s">
        <v>1807</v>
      </c>
    </row>
    <row r="9" spans="1:11">
      <c r="A9" s="8" t="s">
        <v>1622</v>
      </c>
      <c r="B9" s="8" t="s">
        <v>125</v>
      </c>
      <c r="C9" s="8" t="s">
        <v>1808</v>
      </c>
      <c r="D9" s="8"/>
      <c r="E9" s="8"/>
      <c r="F9" s="8"/>
      <c r="G9" s="8" t="s">
        <v>1809</v>
      </c>
      <c r="H9" s="8"/>
      <c r="I9" s="8" t="s">
        <v>1810</v>
      </c>
      <c r="J9" s="8"/>
      <c r="K9" s="8"/>
    </row>
    <row r="10" spans="1:11">
      <c r="A10" s="8" t="s">
        <v>1811</v>
      </c>
      <c r="B10" s="8" t="s">
        <v>127</v>
      </c>
      <c r="C10" s="8" t="s">
        <v>1812</v>
      </c>
      <c r="D10" s="8"/>
      <c r="E10" s="8"/>
      <c r="F10" s="8"/>
      <c r="G10" s="8"/>
      <c r="H10" s="8"/>
      <c r="I10" s="8"/>
      <c r="J10" s="8"/>
      <c r="K10" s="8"/>
    </row>
    <row r="11" spans="1:11">
      <c r="A11" s="8" t="s">
        <v>173</v>
      </c>
      <c r="B11" s="8" t="s">
        <v>129</v>
      </c>
      <c r="C11" s="8" t="s">
        <v>1813</v>
      </c>
      <c r="D11" s="8"/>
      <c r="E11" s="8"/>
      <c r="F11" s="8"/>
      <c r="G11" s="8"/>
      <c r="H11" s="8"/>
      <c r="I11" s="8"/>
      <c r="J11" s="8"/>
      <c r="K11" s="8"/>
    </row>
    <row r="12" spans="1:11">
      <c r="A12" s="8" t="s">
        <v>1541</v>
      </c>
      <c r="B12" s="8" t="s">
        <v>133</v>
      </c>
      <c r="C12" s="8" t="s">
        <v>1814</v>
      </c>
      <c r="D12" s="8"/>
      <c r="E12" s="8"/>
      <c r="F12" s="8"/>
      <c r="G12" s="8"/>
      <c r="H12" s="8"/>
      <c r="I12" s="8"/>
      <c r="J12" s="8"/>
      <c r="K12" s="8"/>
    </row>
    <row r="13" spans="1:11">
      <c r="A13" s="8" t="s">
        <v>266</v>
      </c>
      <c r="B13" s="8" t="s">
        <v>135</v>
      </c>
      <c r="C13" s="8" t="s">
        <v>1815</v>
      </c>
      <c r="D13" s="8"/>
      <c r="E13" s="8"/>
      <c r="F13" s="8"/>
      <c r="G13" s="8"/>
      <c r="H13" s="8"/>
      <c r="I13" s="8"/>
      <c r="J13" s="8"/>
      <c r="K13" s="8"/>
    </row>
    <row r="14" spans="1:11">
      <c r="A14" s="8"/>
      <c r="B14" s="8" t="s">
        <v>137</v>
      </c>
      <c r="C14" s="8" t="s">
        <v>1816</v>
      </c>
      <c r="D14" s="8"/>
      <c r="E14" s="8"/>
      <c r="F14" s="8"/>
      <c r="G14" s="8"/>
      <c r="H14" s="8"/>
      <c r="I14" s="8"/>
      <c r="J14" s="8"/>
      <c r="K14" s="8"/>
    </row>
    <row r="15" spans="1:11">
      <c r="A15" s="8"/>
      <c r="B15" s="8" t="s">
        <v>139</v>
      </c>
      <c r="C15" s="8" t="s">
        <v>1817</v>
      </c>
      <c r="D15" s="8"/>
      <c r="E15" s="8"/>
      <c r="F15" s="8"/>
      <c r="G15" s="8"/>
      <c r="H15" s="8"/>
      <c r="I15" s="8"/>
      <c r="J15" s="8"/>
      <c r="K15" s="8"/>
    </row>
    <row r="16" spans="1:11">
      <c r="A16" s="8"/>
      <c r="B16" s="8" t="s">
        <v>141</v>
      </c>
      <c r="C16" s="8" t="s">
        <v>1818</v>
      </c>
      <c r="D16" s="8"/>
      <c r="E16" s="8"/>
      <c r="F16" s="8"/>
      <c r="G16" s="8"/>
      <c r="H16" s="8"/>
      <c r="I16" s="8"/>
      <c r="J16" s="8"/>
      <c r="K16" s="8"/>
    </row>
    <row r="17" spans="1:11">
      <c r="A17" s="8"/>
      <c r="B17" s="8" t="s">
        <v>143</v>
      </c>
      <c r="C17" s="8" t="s">
        <v>1819</v>
      </c>
      <c r="D17" s="8"/>
      <c r="E17" s="8"/>
      <c r="F17" s="8"/>
      <c r="G17" s="8"/>
      <c r="H17" s="8"/>
      <c r="I17" s="8"/>
      <c r="J17" s="8"/>
      <c r="K17" s="8"/>
    </row>
    <row r="18" spans="1:11">
      <c r="A18" s="8"/>
      <c r="B18" s="8" t="s">
        <v>145</v>
      </c>
      <c r="C18" s="8" t="s">
        <v>1820</v>
      </c>
      <c r="D18" s="8"/>
      <c r="E18" s="8"/>
      <c r="F18" s="8"/>
      <c r="G18" s="8"/>
      <c r="H18" s="8"/>
      <c r="I18" s="8"/>
      <c r="J18" s="8"/>
      <c r="K18" s="8"/>
    </row>
    <row r="19" spans="1:11">
      <c r="A19" s="8"/>
      <c r="B19" s="8" t="s">
        <v>147</v>
      </c>
      <c r="C19" s="8" t="s">
        <v>1821</v>
      </c>
      <c r="D19" s="8"/>
      <c r="E19" s="8"/>
      <c r="F19" s="8"/>
      <c r="G19" s="8"/>
      <c r="H19" s="8"/>
      <c r="I19" s="8"/>
      <c r="J19" s="8"/>
      <c r="K19" s="8"/>
    </row>
    <row r="20" spans="1:11">
      <c r="A20" s="8"/>
      <c r="B20" s="8" t="s">
        <v>149</v>
      </c>
      <c r="C20" s="8" t="s">
        <v>1822</v>
      </c>
      <c r="D20" s="8"/>
      <c r="E20" s="8"/>
      <c r="F20" s="8"/>
      <c r="G20" s="8"/>
      <c r="H20" s="8"/>
      <c r="I20" s="8"/>
      <c r="J20" s="8"/>
      <c r="K20" s="8"/>
    </row>
    <row r="21" spans="1:11">
      <c r="A21" s="8"/>
      <c r="B21" s="8" t="s">
        <v>129</v>
      </c>
      <c r="C21" s="8" t="s">
        <v>1823</v>
      </c>
      <c r="D21" s="8"/>
      <c r="E21" s="8"/>
      <c r="F21" s="8"/>
      <c r="G21" s="8"/>
      <c r="H21" s="8"/>
      <c r="I21" s="8"/>
      <c r="J21" s="8"/>
      <c r="K21" s="8"/>
    </row>
    <row r="22" spans="1:11">
      <c r="A22" s="8"/>
      <c r="B22" s="8" t="s">
        <v>153</v>
      </c>
      <c r="C22" s="8" t="s">
        <v>1824</v>
      </c>
      <c r="D22" s="8"/>
      <c r="E22" s="8"/>
      <c r="F22" s="8"/>
      <c r="G22" s="8"/>
      <c r="H22" s="8"/>
      <c r="I22" s="8"/>
      <c r="J22" s="8"/>
      <c r="K22" s="8"/>
    </row>
    <row r="23" spans="1:11">
      <c r="A23" s="8"/>
      <c r="B23" s="8" t="s">
        <v>155</v>
      </c>
      <c r="C23" s="8" t="s">
        <v>1825</v>
      </c>
      <c r="D23" s="8"/>
      <c r="E23" s="8"/>
      <c r="F23" s="8"/>
      <c r="G23" s="8"/>
      <c r="H23" s="8"/>
      <c r="I23" s="8"/>
      <c r="J23" s="8"/>
      <c r="K23" s="8"/>
    </row>
    <row r="24" spans="1:11">
      <c r="A24" s="8"/>
      <c r="B24" s="8" t="s">
        <v>157</v>
      </c>
      <c r="C24" s="8" t="s">
        <v>1826</v>
      </c>
      <c r="D24" s="8"/>
      <c r="E24" s="8"/>
      <c r="F24" s="8"/>
      <c r="G24" s="8"/>
      <c r="H24" s="8"/>
      <c r="I24" s="8"/>
      <c r="J24" s="8"/>
      <c r="K24" s="8"/>
    </row>
    <row r="25" spans="1:11">
      <c r="A25" s="8"/>
      <c r="B25" s="8" t="s">
        <v>159</v>
      </c>
      <c r="C25" s="8" t="s">
        <v>1827</v>
      </c>
      <c r="D25" s="8"/>
      <c r="E25" s="8"/>
      <c r="F25" s="8"/>
      <c r="G25" s="8"/>
      <c r="H25" s="8"/>
      <c r="I25" s="8"/>
      <c r="J25" s="8"/>
      <c r="K25" s="8"/>
    </row>
    <row r="26" spans="1:11">
      <c r="A26" s="8"/>
      <c r="B26" s="8" t="s">
        <v>161</v>
      </c>
      <c r="C26" s="8" t="s">
        <v>1828</v>
      </c>
      <c r="D26" s="8"/>
      <c r="E26" s="8"/>
      <c r="F26" s="8"/>
      <c r="G26" s="8"/>
      <c r="H26" s="8"/>
      <c r="I26" s="8"/>
      <c r="J26" s="8"/>
      <c r="K26" s="8"/>
    </row>
    <row r="27" spans="1:11">
      <c r="A27" s="8"/>
      <c r="B27" s="8" t="s">
        <v>129</v>
      </c>
      <c r="C27" s="8" t="s">
        <v>1829</v>
      </c>
      <c r="D27" s="8"/>
      <c r="E27" s="8"/>
      <c r="F27" s="8"/>
      <c r="G27" s="8"/>
      <c r="H27" s="8"/>
      <c r="I27" s="8"/>
      <c r="J27" s="8"/>
      <c r="K27" s="8"/>
    </row>
    <row r="28" spans="1:11">
      <c r="A28" s="8"/>
      <c r="B28" s="8" t="s">
        <v>165</v>
      </c>
      <c r="C28" s="8" t="s">
        <v>1830</v>
      </c>
      <c r="D28" s="8"/>
      <c r="E28" s="8"/>
      <c r="F28" s="8"/>
      <c r="G28" s="8"/>
      <c r="H28" s="8"/>
      <c r="I28" s="8"/>
      <c r="J28" s="8"/>
      <c r="K28" s="8"/>
    </row>
    <row r="29" spans="1:11">
      <c r="A29" s="8"/>
      <c r="B29" s="8" t="s">
        <v>167</v>
      </c>
      <c r="C29" s="8" t="s">
        <v>1831</v>
      </c>
      <c r="D29" s="8"/>
      <c r="E29" s="8"/>
      <c r="F29" s="8"/>
      <c r="G29" s="8"/>
      <c r="H29" s="8"/>
      <c r="I29" s="8"/>
      <c r="J29" s="8"/>
      <c r="K29" s="8"/>
    </row>
    <row r="30" spans="1:11">
      <c r="A30" s="8"/>
      <c r="B30" s="8" t="s">
        <v>169</v>
      </c>
      <c r="C30" s="8" t="s">
        <v>1832</v>
      </c>
      <c r="D30" s="8"/>
      <c r="E30" s="8"/>
      <c r="F30" s="8"/>
      <c r="G30" s="8"/>
      <c r="H30" s="8"/>
      <c r="I30" s="8"/>
      <c r="J30" s="8"/>
      <c r="K30" s="8"/>
    </row>
    <row r="31" spans="1:11">
      <c r="A31" s="8"/>
      <c r="B31" s="8" t="s">
        <v>171</v>
      </c>
      <c r="C31" s="8" t="s">
        <v>1833</v>
      </c>
      <c r="D31" s="8"/>
      <c r="E31" s="8"/>
      <c r="F31" s="8"/>
      <c r="G31" s="8"/>
      <c r="H31" s="8"/>
      <c r="I31" s="8"/>
      <c r="J31" s="8"/>
      <c r="K31" s="8"/>
    </row>
    <row r="32" spans="1:11">
      <c r="A32" s="8"/>
      <c r="B32" s="8" t="s">
        <v>174</v>
      </c>
      <c r="C32" s="8" t="s">
        <v>1834</v>
      </c>
      <c r="D32" s="8"/>
      <c r="E32" s="8"/>
      <c r="F32" s="8"/>
      <c r="G32" s="8"/>
      <c r="H32" s="8"/>
      <c r="I32" s="8"/>
      <c r="J32" s="8"/>
      <c r="K32" s="8"/>
    </row>
    <row r="33" spans="1:11">
      <c r="A33" s="8"/>
      <c r="B33" s="8" t="s">
        <v>176</v>
      </c>
      <c r="C33" s="8" t="s">
        <v>1835</v>
      </c>
      <c r="D33" s="8"/>
      <c r="E33" s="8"/>
      <c r="F33" s="8"/>
      <c r="G33" s="8"/>
      <c r="H33" s="8"/>
      <c r="I33" s="8"/>
      <c r="J33" s="8"/>
      <c r="K33" s="8"/>
    </row>
    <row r="34" spans="1:11" ht="26">
      <c r="A34" s="8"/>
      <c r="B34" s="8" t="s">
        <v>171</v>
      </c>
      <c r="C34" s="8" t="s">
        <v>1836</v>
      </c>
      <c r="D34" s="8"/>
      <c r="E34" s="8"/>
      <c r="F34" s="8"/>
      <c r="G34" s="8"/>
      <c r="H34" s="8"/>
      <c r="I34" s="8"/>
      <c r="J34" s="8"/>
      <c r="K34" s="8"/>
    </row>
  </sheetData>
  <mergeCells count="2">
    <mergeCell ref="A1:K1"/>
    <mergeCell ref="A2:K2"/>
  </mergeCells>
  <phoneticPr fontId="1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使用说明</vt:lpstr>
      <vt:lpstr>评测汇总</vt:lpstr>
      <vt:lpstr>采样计划</vt:lpstr>
      <vt:lpstr>案例清单</vt:lpstr>
      <vt:lpstr>标准答案</vt:lpstr>
      <vt:lpstr>型号评测</vt:lpstr>
      <vt:lpstr>规格评测</vt:lpstr>
      <vt:lpstr>运行记录</vt:lpstr>
      <vt:lpstr>字段字典</vt:lpstr>
      <vt:lpstr>枚举选项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Theo Peng</cp:lastModifiedBy>
  <dcterms:created xsi:type="dcterms:W3CDTF">2026-07-28T23:04:42Z</dcterms:created>
  <dcterms:modified xsi:type="dcterms:W3CDTF">2026-07-28T23:07:18Z</dcterms:modified>
</cp:coreProperties>
</file>